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项目开发\潘\3\实现\source-code\data\"/>
    </mc:Choice>
  </mc:AlternateContent>
  <xr:revisionPtr revIDLastSave="0" documentId="13_ncr:1_{C259D23E-5682-428D-92CA-6C12D715DC5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ACC-RST" sheetId="9" r:id="rId1"/>
    <sheet name="Data-Aug-Effects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9" l="1"/>
  <c r="W24" i="9"/>
  <c r="X24" i="9"/>
  <c r="Y24" i="9"/>
  <c r="Z24" i="9"/>
  <c r="AA24" i="9"/>
  <c r="AB24" i="9"/>
  <c r="U24" i="9"/>
  <c r="M30" i="9"/>
  <c r="N30" i="9"/>
  <c r="O30" i="9"/>
  <c r="P30" i="9"/>
  <c r="Q30" i="9"/>
  <c r="R30" i="9"/>
  <c r="S30" i="9"/>
  <c r="L30" i="9"/>
  <c r="M14" i="9"/>
  <c r="N14" i="9"/>
  <c r="O14" i="9"/>
  <c r="P14" i="9"/>
  <c r="Q14" i="9"/>
  <c r="R14" i="9"/>
  <c r="S14" i="9"/>
  <c r="L14" i="9"/>
  <c r="Q8" i="9"/>
  <c r="Q23" i="9" s="1"/>
  <c r="R8" i="9"/>
  <c r="R23" i="9" s="1"/>
  <c r="S8" i="9"/>
  <c r="S23" i="9" s="1"/>
  <c r="Q9" i="9"/>
  <c r="Q24" i="9" s="1"/>
  <c r="R9" i="9"/>
  <c r="R24" i="9" s="1"/>
  <c r="S9" i="9"/>
  <c r="S24" i="9" s="1"/>
  <c r="M8" i="9"/>
  <c r="M23" i="9" s="1"/>
  <c r="N8" i="9"/>
  <c r="N23" i="9" s="1"/>
  <c r="O8" i="9"/>
  <c r="O23" i="9" s="1"/>
  <c r="P8" i="9"/>
  <c r="P23" i="9" s="1"/>
  <c r="M9" i="9"/>
  <c r="M24" i="9" s="1"/>
  <c r="N9" i="9"/>
  <c r="N24" i="9" s="1"/>
  <c r="O9" i="9"/>
  <c r="O24" i="9" s="1"/>
  <c r="P9" i="9"/>
  <c r="P24" i="9" s="1"/>
  <c r="L9" i="9"/>
  <c r="L24" i="9" s="1"/>
  <c r="L8" i="9"/>
  <c r="L23" i="9" s="1"/>
  <c r="O35" i="10"/>
  <c r="K36" i="10"/>
  <c r="J38" i="10"/>
  <c r="B31" i="10"/>
  <c r="K31" i="10" s="1"/>
  <c r="C31" i="10"/>
  <c r="L31" i="10" s="1"/>
  <c r="D31" i="10"/>
  <c r="M31" i="10" s="1"/>
  <c r="E31" i="10"/>
  <c r="N31" i="10" s="1"/>
  <c r="F31" i="10"/>
  <c r="O31" i="10" s="1"/>
  <c r="G31" i="10"/>
  <c r="P31" i="10" s="1"/>
  <c r="H31" i="10"/>
  <c r="Q31" i="10" s="1"/>
  <c r="B32" i="10"/>
  <c r="K32" i="10" s="1"/>
  <c r="C32" i="10"/>
  <c r="L32" i="10" s="1"/>
  <c r="D32" i="10"/>
  <c r="M32" i="10" s="1"/>
  <c r="E32" i="10"/>
  <c r="N32" i="10" s="1"/>
  <c r="F32" i="10"/>
  <c r="O32" i="10" s="1"/>
  <c r="G32" i="10"/>
  <c r="P32" i="10" s="1"/>
  <c r="H32" i="10"/>
  <c r="Q32" i="10" s="1"/>
  <c r="B33" i="10"/>
  <c r="K33" i="10" s="1"/>
  <c r="C33" i="10"/>
  <c r="L33" i="10" s="1"/>
  <c r="D33" i="10"/>
  <c r="M33" i="10" s="1"/>
  <c r="E33" i="10"/>
  <c r="N33" i="10" s="1"/>
  <c r="F33" i="10"/>
  <c r="O33" i="10" s="1"/>
  <c r="G33" i="10"/>
  <c r="P33" i="10" s="1"/>
  <c r="H33" i="10"/>
  <c r="Q33" i="10" s="1"/>
  <c r="B34" i="10"/>
  <c r="K34" i="10" s="1"/>
  <c r="C34" i="10"/>
  <c r="L34" i="10" s="1"/>
  <c r="D34" i="10"/>
  <c r="M34" i="10" s="1"/>
  <c r="E34" i="10"/>
  <c r="N34" i="10" s="1"/>
  <c r="F34" i="10"/>
  <c r="O34" i="10" s="1"/>
  <c r="G34" i="10"/>
  <c r="P34" i="10" s="1"/>
  <c r="H34" i="10"/>
  <c r="Q34" i="10" s="1"/>
  <c r="B35" i="10"/>
  <c r="K35" i="10" s="1"/>
  <c r="C35" i="10"/>
  <c r="L35" i="10" s="1"/>
  <c r="D35" i="10"/>
  <c r="M35" i="10" s="1"/>
  <c r="E35" i="10"/>
  <c r="N35" i="10" s="1"/>
  <c r="F35" i="10"/>
  <c r="G35" i="10"/>
  <c r="P35" i="10" s="1"/>
  <c r="H35" i="10"/>
  <c r="Q35" i="10" s="1"/>
  <c r="B36" i="10"/>
  <c r="C36" i="10"/>
  <c r="L36" i="10" s="1"/>
  <c r="D36" i="10"/>
  <c r="M36" i="10" s="1"/>
  <c r="E36" i="10"/>
  <c r="N36" i="10" s="1"/>
  <c r="F36" i="10"/>
  <c r="O36" i="10" s="1"/>
  <c r="G36" i="10"/>
  <c r="P36" i="10" s="1"/>
  <c r="H36" i="10"/>
  <c r="Q36" i="10" s="1"/>
  <c r="B37" i="10"/>
  <c r="K37" i="10" s="1"/>
  <c r="C37" i="10"/>
  <c r="L37" i="10" s="1"/>
  <c r="D37" i="10"/>
  <c r="M37" i="10" s="1"/>
  <c r="E37" i="10"/>
  <c r="N37" i="10" s="1"/>
  <c r="F37" i="10"/>
  <c r="O37" i="10" s="1"/>
  <c r="G37" i="10"/>
  <c r="P37" i="10" s="1"/>
  <c r="H37" i="10"/>
  <c r="Q37" i="10" s="1"/>
  <c r="B38" i="10"/>
  <c r="K38" i="10" s="1"/>
  <c r="C38" i="10"/>
  <c r="L38" i="10" s="1"/>
  <c r="D38" i="10"/>
  <c r="M38" i="10" s="1"/>
  <c r="E38" i="10"/>
  <c r="N38" i="10" s="1"/>
  <c r="F38" i="10"/>
  <c r="O38" i="10" s="1"/>
  <c r="G38" i="10"/>
  <c r="P38" i="10" s="1"/>
  <c r="H38" i="10"/>
  <c r="Q38" i="10" s="1"/>
  <c r="B39" i="10"/>
  <c r="K39" i="10" s="1"/>
  <c r="C39" i="10"/>
  <c r="L39" i="10" s="1"/>
  <c r="D39" i="10"/>
  <c r="M39" i="10" s="1"/>
  <c r="E39" i="10"/>
  <c r="N39" i="10" s="1"/>
  <c r="F39" i="10"/>
  <c r="O39" i="10" s="1"/>
  <c r="G39" i="10"/>
  <c r="P39" i="10" s="1"/>
  <c r="H39" i="10"/>
  <c r="Q39" i="10" s="1"/>
  <c r="B40" i="10"/>
  <c r="K40" i="10" s="1"/>
  <c r="C40" i="10"/>
  <c r="L40" i="10" s="1"/>
  <c r="D40" i="10"/>
  <c r="M40" i="10" s="1"/>
  <c r="E40" i="10"/>
  <c r="N40" i="10" s="1"/>
  <c r="F40" i="10"/>
  <c r="O40" i="10" s="1"/>
  <c r="G40" i="10"/>
  <c r="P40" i="10" s="1"/>
  <c r="H40" i="10"/>
  <c r="Q40" i="10" s="1"/>
  <c r="B41" i="10"/>
  <c r="K41" i="10" s="1"/>
  <c r="C41" i="10"/>
  <c r="L41" i="10" s="1"/>
  <c r="D41" i="10"/>
  <c r="M41" i="10" s="1"/>
  <c r="E41" i="10"/>
  <c r="N41" i="10" s="1"/>
  <c r="F41" i="10"/>
  <c r="O41" i="10" s="1"/>
  <c r="G41" i="10"/>
  <c r="P41" i="10" s="1"/>
  <c r="H41" i="10"/>
  <c r="Q41" i="10" s="1"/>
  <c r="A41" i="10"/>
  <c r="J41" i="10" s="1"/>
  <c r="A40" i="10"/>
  <c r="J40" i="10" s="1"/>
  <c r="A39" i="10"/>
  <c r="J39" i="10" s="1"/>
  <c r="A38" i="10"/>
  <c r="A37" i="10"/>
  <c r="J37" i="10" s="1"/>
  <c r="A36" i="10"/>
  <c r="J36" i="10" s="1"/>
  <c r="A35" i="10"/>
  <c r="J35" i="10" s="1"/>
  <c r="A34" i="10"/>
  <c r="J34" i="10" s="1"/>
  <c r="A33" i="10"/>
  <c r="J33" i="10" s="1"/>
  <c r="A32" i="10"/>
  <c r="J32" i="10" s="1"/>
  <c r="A31" i="10"/>
  <c r="J31" i="10" s="1"/>
  <c r="M2" i="9"/>
  <c r="M17" i="9" s="1"/>
  <c r="N2" i="9"/>
  <c r="N17" i="9" s="1"/>
  <c r="O2" i="9"/>
  <c r="O17" i="9" s="1"/>
  <c r="P2" i="9"/>
  <c r="P17" i="9" s="1"/>
  <c r="Q2" i="9"/>
  <c r="Q17" i="9" s="1"/>
  <c r="R2" i="9"/>
  <c r="R17" i="9" s="1"/>
  <c r="S2" i="9"/>
  <c r="S17" i="9" s="1"/>
  <c r="M3" i="9"/>
  <c r="M18" i="9" s="1"/>
  <c r="N3" i="9"/>
  <c r="N18" i="9" s="1"/>
  <c r="O3" i="9"/>
  <c r="O18" i="9" s="1"/>
  <c r="P3" i="9"/>
  <c r="P18" i="9" s="1"/>
  <c r="Q3" i="9"/>
  <c r="Q18" i="9" s="1"/>
  <c r="R3" i="9"/>
  <c r="R18" i="9" s="1"/>
  <c r="S3" i="9"/>
  <c r="S18" i="9" s="1"/>
  <c r="M4" i="9"/>
  <c r="M19" i="9" s="1"/>
  <c r="N4" i="9"/>
  <c r="N19" i="9" s="1"/>
  <c r="O4" i="9"/>
  <c r="O19" i="9" s="1"/>
  <c r="P4" i="9"/>
  <c r="P19" i="9" s="1"/>
  <c r="Q4" i="9"/>
  <c r="Q19" i="9" s="1"/>
  <c r="R4" i="9"/>
  <c r="R19" i="9" s="1"/>
  <c r="S4" i="9"/>
  <c r="S19" i="9" s="1"/>
  <c r="M5" i="9"/>
  <c r="M20" i="9" s="1"/>
  <c r="N5" i="9"/>
  <c r="N20" i="9" s="1"/>
  <c r="O5" i="9"/>
  <c r="O20" i="9" s="1"/>
  <c r="P5" i="9"/>
  <c r="P20" i="9" s="1"/>
  <c r="Q5" i="9"/>
  <c r="Q20" i="9" s="1"/>
  <c r="R5" i="9"/>
  <c r="R20" i="9" s="1"/>
  <c r="S5" i="9"/>
  <c r="S20" i="9" s="1"/>
  <c r="M6" i="9"/>
  <c r="M21" i="9" s="1"/>
  <c r="N6" i="9"/>
  <c r="N21" i="9" s="1"/>
  <c r="O6" i="9"/>
  <c r="O21" i="9" s="1"/>
  <c r="P6" i="9"/>
  <c r="P21" i="9" s="1"/>
  <c r="Q6" i="9"/>
  <c r="Q21" i="9" s="1"/>
  <c r="R6" i="9"/>
  <c r="R21" i="9" s="1"/>
  <c r="S6" i="9"/>
  <c r="S21" i="9" s="1"/>
  <c r="M7" i="9"/>
  <c r="M22" i="9" s="1"/>
  <c r="N7" i="9"/>
  <c r="N22" i="9" s="1"/>
  <c r="O7" i="9"/>
  <c r="O22" i="9" s="1"/>
  <c r="P7" i="9"/>
  <c r="P22" i="9" s="1"/>
  <c r="Q7" i="9"/>
  <c r="Q22" i="9" s="1"/>
  <c r="R7" i="9"/>
  <c r="R22" i="9" s="1"/>
  <c r="S7" i="9"/>
  <c r="S22" i="9" s="1"/>
  <c r="M11" i="9"/>
  <c r="M27" i="9" s="1"/>
  <c r="N11" i="9"/>
  <c r="N27" i="9" s="1"/>
  <c r="O11" i="9"/>
  <c r="O27" i="9" s="1"/>
  <c r="P11" i="9"/>
  <c r="P27" i="9" s="1"/>
  <c r="Q11" i="9"/>
  <c r="Q27" i="9" s="1"/>
  <c r="R11" i="9"/>
  <c r="R27" i="9" s="1"/>
  <c r="S11" i="9"/>
  <c r="S27" i="9" s="1"/>
  <c r="M12" i="9"/>
  <c r="M28" i="9" s="1"/>
  <c r="N12" i="9"/>
  <c r="N28" i="9" s="1"/>
  <c r="O12" i="9"/>
  <c r="O28" i="9" s="1"/>
  <c r="P12" i="9"/>
  <c r="P28" i="9" s="1"/>
  <c r="Q12" i="9"/>
  <c r="Q28" i="9" s="1"/>
  <c r="R12" i="9"/>
  <c r="R28" i="9" s="1"/>
  <c r="S12" i="9"/>
  <c r="S28" i="9" s="1"/>
  <c r="M13" i="9"/>
  <c r="M29" i="9" s="1"/>
  <c r="N13" i="9"/>
  <c r="N29" i="9" s="1"/>
  <c r="O13" i="9"/>
  <c r="O29" i="9" s="1"/>
  <c r="P13" i="9"/>
  <c r="P29" i="9" s="1"/>
  <c r="Q13" i="9"/>
  <c r="Q29" i="9" s="1"/>
  <c r="R13" i="9"/>
  <c r="R29" i="9" s="1"/>
  <c r="S13" i="9"/>
  <c r="S29" i="9" s="1"/>
  <c r="L13" i="9"/>
  <c r="L29" i="9" s="1"/>
  <c r="L12" i="9"/>
  <c r="L28" i="9" s="1"/>
  <c r="L11" i="9"/>
  <c r="L27" i="9" s="1"/>
  <c r="L7" i="9"/>
  <c r="L22" i="9" s="1"/>
  <c r="L6" i="9"/>
  <c r="L21" i="9" s="1"/>
  <c r="L5" i="9"/>
  <c r="L20" i="9" s="1"/>
  <c r="L4" i="9"/>
  <c r="L19" i="9" s="1"/>
  <c r="L3" i="9"/>
  <c r="L18" i="9" s="1"/>
  <c r="L2" i="9"/>
  <c r="L17" i="9" s="1"/>
  <c r="L16" i="10"/>
  <c r="M16" i="10"/>
  <c r="N16" i="10"/>
  <c r="O16" i="10"/>
  <c r="P16" i="10"/>
  <c r="Q16" i="10"/>
  <c r="R16" i="10"/>
  <c r="L17" i="10"/>
  <c r="M17" i="10"/>
  <c r="N17" i="10"/>
  <c r="O17" i="10"/>
  <c r="P17" i="10"/>
  <c r="Q17" i="10"/>
  <c r="R17" i="10"/>
  <c r="L18" i="10"/>
  <c r="M18" i="10"/>
  <c r="N18" i="10"/>
  <c r="O18" i="10"/>
  <c r="P18" i="10"/>
  <c r="Q18" i="10"/>
  <c r="R18" i="10"/>
  <c r="L19" i="10"/>
  <c r="M19" i="10"/>
  <c r="N19" i="10"/>
  <c r="O19" i="10"/>
  <c r="P19" i="10"/>
  <c r="Q19" i="10"/>
  <c r="R19" i="10"/>
  <c r="L20" i="10"/>
  <c r="M20" i="10"/>
  <c r="N20" i="10"/>
  <c r="O20" i="10"/>
  <c r="P20" i="10"/>
  <c r="Q20" i="10"/>
  <c r="R20" i="10"/>
  <c r="L21" i="10"/>
  <c r="M21" i="10"/>
  <c r="N21" i="10"/>
  <c r="O21" i="10"/>
  <c r="P21" i="10"/>
  <c r="Q21" i="10"/>
  <c r="R21" i="10"/>
  <c r="L22" i="10"/>
  <c r="M22" i="10"/>
  <c r="N22" i="10"/>
  <c r="O22" i="10"/>
  <c r="P22" i="10"/>
  <c r="Q22" i="10"/>
  <c r="R22" i="10"/>
  <c r="L23" i="10"/>
  <c r="M23" i="10"/>
  <c r="N23" i="10"/>
  <c r="O23" i="10"/>
  <c r="P23" i="10"/>
  <c r="Q23" i="10"/>
  <c r="R23" i="10"/>
  <c r="L24" i="10"/>
  <c r="M24" i="10"/>
  <c r="N24" i="10"/>
  <c r="O24" i="10"/>
  <c r="P24" i="10"/>
  <c r="Q24" i="10"/>
  <c r="R24" i="10"/>
  <c r="L25" i="10"/>
  <c r="M25" i="10"/>
  <c r="N25" i="10"/>
  <c r="O25" i="10"/>
  <c r="P25" i="10"/>
  <c r="Q25" i="10"/>
  <c r="R25" i="10"/>
  <c r="L26" i="10"/>
  <c r="M26" i="10"/>
  <c r="N26" i="10"/>
  <c r="O26" i="10"/>
  <c r="P26" i="10"/>
  <c r="Q26" i="10"/>
  <c r="R26" i="10"/>
  <c r="K17" i="10"/>
  <c r="K18" i="10"/>
  <c r="K19" i="10"/>
  <c r="K20" i="10"/>
  <c r="K21" i="10"/>
  <c r="K22" i="10"/>
  <c r="K23" i="10"/>
  <c r="K24" i="10"/>
  <c r="K25" i="10"/>
  <c r="K26" i="10"/>
  <c r="K16" i="10"/>
  <c r="L2" i="10"/>
  <c r="M2" i="10"/>
  <c r="N2" i="10"/>
  <c r="O2" i="10"/>
  <c r="P2" i="10"/>
  <c r="Q2" i="10"/>
  <c r="R2" i="10"/>
  <c r="L3" i="10"/>
  <c r="M3" i="10"/>
  <c r="N3" i="10"/>
  <c r="O3" i="10"/>
  <c r="P3" i="10"/>
  <c r="Q3" i="10"/>
  <c r="R3" i="10"/>
  <c r="L4" i="10"/>
  <c r="M4" i="10"/>
  <c r="N4" i="10"/>
  <c r="O4" i="10"/>
  <c r="P4" i="10"/>
  <c r="Q4" i="10"/>
  <c r="R4" i="10"/>
  <c r="L5" i="10"/>
  <c r="M5" i="10"/>
  <c r="N5" i="10"/>
  <c r="O5" i="10"/>
  <c r="P5" i="10"/>
  <c r="Q5" i="10"/>
  <c r="R5" i="10"/>
  <c r="L6" i="10"/>
  <c r="M6" i="10"/>
  <c r="N6" i="10"/>
  <c r="O6" i="10"/>
  <c r="P6" i="10"/>
  <c r="Q6" i="10"/>
  <c r="R6" i="10"/>
  <c r="L7" i="10"/>
  <c r="M7" i="10"/>
  <c r="N7" i="10"/>
  <c r="O7" i="10"/>
  <c r="P7" i="10"/>
  <c r="Q7" i="10"/>
  <c r="R7" i="10"/>
  <c r="L8" i="10"/>
  <c r="M8" i="10"/>
  <c r="N8" i="10"/>
  <c r="O8" i="10"/>
  <c r="P8" i="10"/>
  <c r="Q8" i="10"/>
  <c r="R8" i="10"/>
  <c r="L9" i="10"/>
  <c r="M9" i="10"/>
  <c r="N9" i="10"/>
  <c r="O9" i="10"/>
  <c r="P9" i="10"/>
  <c r="Q9" i="10"/>
  <c r="R9" i="10"/>
  <c r="L11" i="10"/>
  <c r="M11" i="10"/>
  <c r="N11" i="10"/>
  <c r="O11" i="10"/>
  <c r="P11" i="10"/>
  <c r="Q11" i="10"/>
  <c r="R11" i="10"/>
  <c r="L12" i="10"/>
  <c r="M12" i="10"/>
  <c r="N12" i="10"/>
  <c r="O12" i="10"/>
  <c r="P12" i="10"/>
  <c r="Q12" i="10"/>
  <c r="R12" i="10"/>
  <c r="L13" i="10"/>
  <c r="M13" i="10"/>
  <c r="N13" i="10"/>
  <c r="O13" i="10"/>
  <c r="P13" i="10"/>
  <c r="Q13" i="10"/>
  <c r="R13" i="10"/>
  <c r="K11" i="10"/>
  <c r="K13" i="10"/>
  <c r="K12" i="10"/>
  <c r="K9" i="10"/>
  <c r="K8" i="10"/>
  <c r="K7" i="10"/>
  <c r="K6" i="10"/>
  <c r="K5" i="10"/>
  <c r="K4" i="10"/>
  <c r="K3" i="10"/>
  <c r="K2" i="10"/>
  <c r="M25" i="9" l="1"/>
  <c r="L25" i="9"/>
  <c r="O25" i="9"/>
  <c r="Q25" i="9"/>
  <c r="R25" i="9"/>
  <c r="P25" i="9"/>
  <c r="S25" i="9"/>
  <c r="N25" i="9"/>
  <c r="G17" i="9"/>
  <c r="J17" i="9"/>
  <c r="I17" i="9"/>
  <c r="H17" i="9"/>
</calcChain>
</file>

<file path=xl/sharedStrings.xml><?xml version="1.0" encoding="utf-8"?>
<sst xmlns="http://schemas.openxmlformats.org/spreadsheetml/2006/main" count="36" uniqueCount="36">
  <si>
    <t>Model</t>
    <phoneticPr fontId="18" type="noConversion"/>
  </si>
  <si>
    <t>ACC</t>
    <phoneticPr fontId="18" type="noConversion"/>
  </si>
  <si>
    <t>PRECISION</t>
    <phoneticPr fontId="18" type="noConversion"/>
  </si>
  <si>
    <t>RECALL</t>
    <phoneticPr fontId="18" type="noConversion"/>
  </si>
  <si>
    <t>F1</t>
    <phoneticPr fontId="18" type="noConversion"/>
  </si>
  <si>
    <t>AUC</t>
    <phoneticPr fontId="18" type="noConversion"/>
  </si>
  <si>
    <t>macro-P</t>
    <phoneticPr fontId="18" type="noConversion"/>
  </si>
  <si>
    <t>macro-R</t>
    <phoneticPr fontId="18" type="noConversion"/>
  </si>
  <si>
    <t>macro F1</t>
    <phoneticPr fontId="18" type="noConversion"/>
  </si>
  <si>
    <t>PRECISION</t>
  </si>
  <si>
    <t>RECALL</t>
  </si>
  <si>
    <t>macro-P</t>
  </si>
  <si>
    <t>macro-R</t>
  </si>
  <si>
    <t>macro F1</t>
  </si>
  <si>
    <t>AUC</t>
  </si>
  <si>
    <t>weighted F1</t>
    <phoneticPr fontId="18" type="noConversion"/>
  </si>
  <si>
    <t>accuracy</t>
    <phoneticPr fontId="18" type="noConversion"/>
  </si>
  <si>
    <t>Quantity</t>
    <phoneticPr fontId="18" type="noConversion"/>
  </si>
  <si>
    <t>绝对增益</t>
    <phoneticPr fontId="18" type="noConversion"/>
  </si>
  <si>
    <t>绝对性能降级</t>
    <phoneticPr fontId="18" type="noConversion"/>
  </si>
  <si>
    <t>相对增益</t>
    <phoneticPr fontId="18" type="noConversion"/>
  </si>
  <si>
    <t>相对性能下降</t>
    <phoneticPr fontId="18" type="noConversion"/>
  </si>
  <si>
    <t>AVERAGE</t>
    <phoneticPr fontId="18" type="noConversion"/>
  </si>
  <si>
    <t>GTAE-FRA</t>
  </si>
  <si>
    <t>DualFRAGCN</t>
  </si>
  <si>
    <t>DualFRAGAT</t>
  </si>
  <si>
    <t>DualFRAGGNN</t>
  </si>
  <si>
    <t>DualFRAInfoGCN</t>
  </si>
  <si>
    <t>DualFRAAGC-LSTM</t>
  </si>
  <si>
    <t>DualFRALG-SGNet</t>
  </si>
  <si>
    <t>DualFRAAGMS-GCN</t>
  </si>
  <si>
    <t>DualFRA</t>
  </si>
  <si>
    <t>DualFRATUG</t>
  </si>
  <si>
    <t>DualFRAFTSTS</t>
  </si>
  <si>
    <t>DualFRANoJMView</t>
  </si>
  <si>
    <t>DualFRANoAug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</si>
</sst>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34" borderId="0" xfId="0" applyFill="1">
      <alignment vertical="center"/>
    </xf>
    <xf numFmtId="2" fontId="0" fillId="34" borderId="0" xfId="0" applyNumberFormat="1" applyFill="1">
      <alignment vertical="center"/>
    </xf>
    <xf numFmtId="176" fontId="0" fillId="33" borderId="0" xfId="0" applyNumberFormat="1" applyFill="1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2" fontId="0" fillId="0" borderId="0" xfId="0" applyNumberFormat="1" applyFill="1" applyBorder="1">
      <alignment vertical="center"/>
    </xf>
    <xf numFmtId="176" fontId="0" fillId="0" borderId="0" xfId="0" applyNumberFormat="1" applyFill="1">
      <alignment vertical="center"/>
    </xf>
    <xf numFmtId="2" fontId="0" fillId="33" borderId="0" xfId="0" applyNumberFormat="1" applyFill="1" applyBorder="1">
      <alignment vertical="center"/>
    </xf>
    <xf numFmtId="2" fontId="0" fillId="0" borderId="0" xfId="0" applyNumberFormat="1" applyFill="1">
      <alignment vertical="center"/>
    </xf>
    <xf numFmtId="0" fontId="0" fillId="0" borderId="0" xfId="0" applyFill="1">
      <alignment vertical="center"/>
    </xf>
    <xf numFmtId="2" fontId="0" fillId="33" borderId="0" xfId="0" applyNumberFormat="1" applyFill="1">
      <alignment vertical="center"/>
    </xf>
    <xf numFmtId="0" fontId="0" fillId="0" borderId="0" xfId="0">
      <alignment vertical="center"/>
    </xf>
    <xf numFmtId="2" fontId="0" fillId="0" borderId="0" xfId="0" applyNumberFormat="1">
      <alignment vertical="center"/>
    </xf>
    <xf numFmtId="0" fontId="20" fillId="0" borderId="0" xfId="0" applyFont="1">
      <alignment vertical="center"/>
    </xf>
    <xf numFmtId="2" fontId="20" fillId="0" borderId="0" xfId="0" applyNumberFormat="1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21" fillId="35" borderId="0" xfId="0" applyNumberFormat="1" applyFont="1" applyFill="1">
      <alignment vertical="center"/>
    </xf>
    <xf numFmtId="0" fontId="21" fillId="35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009999"/>
      <color rgb="FFFF66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96784114134712"/>
          <c:y val="5.7828640120409412E-2"/>
          <c:w val="0.80949454303003643"/>
          <c:h val="0.7304216730318186"/>
        </c:manualLayout>
      </c:layout>
      <c:lineChart>
        <c:grouping val="standard"/>
        <c:varyColors val="0"/>
        <c:ser>
          <c:idx val="0"/>
          <c:order val="0"/>
          <c:tx>
            <c:strRef>
              <c:f>'Data-Aug-Effects'!$B$1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'Data-Aug-Effects'!$A$2:$A$13</c:f>
              <c:numCache>
                <c:formatCode>General</c:formatCode>
                <c:ptCount val="12"/>
                <c:pt idx="0">
                  <c:v>350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6000</c:v>
                </c:pt>
                <c:pt idx="7">
                  <c:v>8000</c:v>
                </c:pt>
                <c:pt idx="8">
                  <c:v>10000</c:v>
                </c:pt>
                <c:pt idx="9">
                  <c:v>12000</c:v>
                </c:pt>
                <c:pt idx="10">
                  <c:v>14000</c:v>
                </c:pt>
                <c:pt idx="11">
                  <c:v>16000</c:v>
                </c:pt>
              </c:numCache>
            </c:numRef>
          </c:cat>
          <c:val>
            <c:numRef>
              <c:f>'Data-Aug-Effects'!$B$2:$B$13</c:f>
              <c:numCache>
                <c:formatCode>0.00</c:formatCode>
                <c:ptCount val="12"/>
                <c:pt idx="0">
                  <c:v>76</c:v>
                </c:pt>
                <c:pt idx="1">
                  <c:v>77</c:v>
                </c:pt>
                <c:pt idx="2">
                  <c:v>80</c:v>
                </c:pt>
                <c:pt idx="3">
                  <c:v>82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87</c:v>
                </c:pt>
                <c:pt idx="10">
                  <c:v>88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3-4B7A-B97F-35373B179F49}"/>
            </c:ext>
          </c:extLst>
        </c:ser>
        <c:ser>
          <c:idx val="3"/>
          <c:order val="1"/>
          <c:tx>
            <c:strRef>
              <c:f>'Data-Aug-Effects'!$E$1</c:f>
              <c:strCache>
                <c:ptCount val="1"/>
                <c:pt idx="0">
                  <c:v>weighted F1</c:v>
                </c:pt>
              </c:strCache>
            </c:strRef>
          </c:tx>
          <c:spPr>
            <a:ln w="22225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cat>
            <c:numRef>
              <c:f>'Data-Aug-Effects'!$A$2:$A$13</c:f>
              <c:numCache>
                <c:formatCode>General</c:formatCode>
                <c:ptCount val="12"/>
                <c:pt idx="0">
                  <c:v>350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6000</c:v>
                </c:pt>
                <c:pt idx="7">
                  <c:v>8000</c:v>
                </c:pt>
                <c:pt idx="8">
                  <c:v>10000</c:v>
                </c:pt>
                <c:pt idx="9">
                  <c:v>12000</c:v>
                </c:pt>
                <c:pt idx="10">
                  <c:v>14000</c:v>
                </c:pt>
                <c:pt idx="11">
                  <c:v>16000</c:v>
                </c:pt>
              </c:numCache>
            </c:numRef>
          </c:cat>
          <c:val>
            <c:numRef>
              <c:f>'Data-Aug-Effects'!$E$2:$E$13</c:f>
              <c:numCache>
                <c:formatCode>0.00</c:formatCode>
                <c:ptCount val="12"/>
                <c:pt idx="0">
                  <c:v>73.5</c:v>
                </c:pt>
                <c:pt idx="1">
                  <c:v>75.37</c:v>
                </c:pt>
                <c:pt idx="2">
                  <c:v>78.430000000000007</c:v>
                </c:pt>
                <c:pt idx="3">
                  <c:v>80.83</c:v>
                </c:pt>
                <c:pt idx="4">
                  <c:v>83.97</c:v>
                </c:pt>
                <c:pt idx="5">
                  <c:v>84.86</c:v>
                </c:pt>
                <c:pt idx="6">
                  <c:v>85.83</c:v>
                </c:pt>
                <c:pt idx="7">
                  <c:v>86.93</c:v>
                </c:pt>
                <c:pt idx="8">
                  <c:v>87.98</c:v>
                </c:pt>
                <c:pt idx="9">
                  <c:v>86.99</c:v>
                </c:pt>
                <c:pt idx="10">
                  <c:v>87.99</c:v>
                </c:pt>
                <c:pt idx="11">
                  <c:v>88.05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3-4B7A-B97F-35373B179F49}"/>
            </c:ext>
          </c:extLst>
        </c:ser>
        <c:ser>
          <c:idx val="6"/>
          <c:order val="2"/>
          <c:tx>
            <c:strRef>
              <c:f>'Data-Aug-Effects'!$H$1</c:f>
              <c:strCache>
                <c:ptCount val="1"/>
                <c:pt idx="0">
                  <c:v>macro F1</c:v>
                </c:pt>
              </c:strCache>
            </c:strRef>
          </c:tx>
          <c:spPr>
            <a:ln w="222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'Data-Aug-Effects'!$A$2:$A$13</c:f>
              <c:numCache>
                <c:formatCode>General</c:formatCode>
                <c:ptCount val="12"/>
                <c:pt idx="0">
                  <c:v>350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6000</c:v>
                </c:pt>
                <c:pt idx="7">
                  <c:v>8000</c:v>
                </c:pt>
                <c:pt idx="8">
                  <c:v>10000</c:v>
                </c:pt>
                <c:pt idx="9">
                  <c:v>12000</c:v>
                </c:pt>
                <c:pt idx="10">
                  <c:v>14000</c:v>
                </c:pt>
                <c:pt idx="11">
                  <c:v>16000</c:v>
                </c:pt>
              </c:numCache>
            </c:numRef>
          </c:cat>
          <c:val>
            <c:numRef>
              <c:f>'Data-Aug-Effects'!$H$2:$H$13</c:f>
              <c:numCache>
                <c:formatCode>0.00</c:formatCode>
                <c:ptCount val="12"/>
                <c:pt idx="0">
                  <c:v>76.849999999999994</c:v>
                </c:pt>
                <c:pt idx="1">
                  <c:v>79.34</c:v>
                </c:pt>
                <c:pt idx="2">
                  <c:v>81.84</c:v>
                </c:pt>
                <c:pt idx="3">
                  <c:v>83.81</c:v>
                </c:pt>
                <c:pt idx="4">
                  <c:v>86.46</c:v>
                </c:pt>
                <c:pt idx="5">
                  <c:v>87.66</c:v>
                </c:pt>
                <c:pt idx="6">
                  <c:v>88.45</c:v>
                </c:pt>
                <c:pt idx="7">
                  <c:v>89.35</c:v>
                </c:pt>
                <c:pt idx="8">
                  <c:v>89.68</c:v>
                </c:pt>
                <c:pt idx="9">
                  <c:v>89.43</c:v>
                </c:pt>
                <c:pt idx="10">
                  <c:v>88.68</c:v>
                </c:pt>
                <c:pt idx="11">
                  <c:v>89.76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33-4B7A-B97F-35373B179F49}"/>
            </c:ext>
          </c:extLst>
        </c:ser>
        <c:ser>
          <c:idx val="7"/>
          <c:order val="3"/>
          <c:tx>
            <c:strRef>
              <c:f>'Data-Aug-Effects'!$I$1</c:f>
              <c:strCache>
                <c:ptCount val="1"/>
                <c:pt idx="0">
                  <c:v>AUC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'Data-Aug-Effects'!$A$2:$A$13</c:f>
              <c:numCache>
                <c:formatCode>General</c:formatCode>
                <c:ptCount val="12"/>
                <c:pt idx="0">
                  <c:v>350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6000</c:v>
                </c:pt>
                <c:pt idx="7">
                  <c:v>8000</c:v>
                </c:pt>
                <c:pt idx="8">
                  <c:v>10000</c:v>
                </c:pt>
                <c:pt idx="9">
                  <c:v>12000</c:v>
                </c:pt>
                <c:pt idx="10">
                  <c:v>14000</c:v>
                </c:pt>
                <c:pt idx="11">
                  <c:v>16000</c:v>
                </c:pt>
              </c:numCache>
            </c:numRef>
          </c:cat>
          <c:val>
            <c:numRef>
              <c:f>'Data-Aug-Effects'!$I$2:$I$13</c:f>
              <c:numCache>
                <c:formatCode>0.00</c:formatCode>
                <c:ptCount val="12"/>
                <c:pt idx="0">
                  <c:v>88.79</c:v>
                </c:pt>
                <c:pt idx="1">
                  <c:v>90.45</c:v>
                </c:pt>
                <c:pt idx="2">
                  <c:v>92.73</c:v>
                </c:pt>
                <c:pt idx="3">
                  <c:v>93.95</c:v>
                </c:pt>
                <c:pt idx="4">
                  <c:v>95.85</c:v>
                </c:pt>
                <c:pt idx="5">
                  <c:v>93.89</c:v>
                </c:pt>
                <c:pt idx="6">
                  <c:v>95.13</c:v>
                </c:pt>
                <c:pt idx="7">
                  <c:v>96.46</c:v>
                </c:pt>
                <c:pt idx="8">
                  <c:v>98.17</c:v>
                </c:pt>
                <c:pt idx="9">
                  <c:v>95.71</c:v>
                </c:pt>
                <c:pt idx="10">
                  <c:v>97.17</c:v>
                </c:pt>
                <c:pt idx="11">
                  <c:v>98.15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33-4B7A-B97F-35373B17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910127"/>
        <c:axId val="835911087"/>
      </c:lineChart>
      <c:catAx>
        <c:axId val="835910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Number of Training</a:t>
                </a:r>
                <a:r>
                  <a:rPr lang="en-US" altLang="zh-CN" baseline="0">
                    <a:solidFill>
                      <a:sysClr val="windowText" lastClr="000000"/>
                    </a:solidFill>
                  </a:rPr>
                  <a:t> Samples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717655693383391"/>
              <c:y val="0.894435618137247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5911087"/>
        <c:crosses val="autoZero"/>
        <c:auto val="1"/>
        <c:lblAlgn val="ctr"/>
        <c:lblOffset val="100"/>
        <c:noMultiLvlLbl val="0"/>
      </c:catAx>
      <c:valAx>
        <c:axId val="835911087"/>
        <c:scaling>
          <c:orientation val="minMax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Performance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1083243009266289E-2"/>
              <c:y val="0.268807554399074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591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358215650237288"/>
          <c:y val="0.48563722028448214"/>
          <c:w val="0.22458053852343277"/>
          <c:h val="0.27383743397258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296564</xdr:colOff>
      <xdr:row>14</xdr:row>
      <xdr:rowOff>116251</xdr:rowOff>
    </xdr:from>
    <xdr:to>
      <xdr:col>7</xdr:col>
      <xdr:colOff>641950</xdr:colOff>
      <xdr:row>27</xdr:row>
      <xdr:rowOff>136143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830566A-4378-41E2-44CD-5019FE919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FE82-E95D-4C7B-9C73-236E5B773E94}">
  <dimension ref="A1:AC30"/>
  <sheetViews>
    <sheetView tabSelected="1" zoomScale="115" zoomScaleNormal="115" workbookViewId="0">
      <selection activeCell="C17" sqref="C17"/>
    </sheetView>
  </sheetViews>
  <sheetFormatPr defaultRowHeight="13.9" x14ac:dyDescent="0.4"/>
  <cols>
    <col min="1" max="1" width="19.46484375" customWidth="1"/>
    <col min="3" max="3" width="13.46484375" customWidth="1"/>
    <col min="12" max="12" width="9.06640625" style="7"/>
    <col min="15" max="15" width="9.06640625" style="7"/>
    <col min="18" max="19" width="9.06640625" style="7"/>
  </cols>
  <sheetData>
    <row r="1" spans="1:1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5</v>
      </c>
      <c r="L1" s="20" t="s">
        <v>18</v>
      </c>
      <c r="M1" s="20"/>
      <c r="N1" s="20"/>
      <c r="O1" s="20"/>
      <c r="P1" s="20"/>
      <c r="Q1" s="20"/>
      <c r="R1" s="20"/>
      <c r="S1" s="20"/>
    </row>
    <row r="2" spans="1:19" x14ac:dyDescent="0.4">
      <c r="A2" t="s">
        <v>23</v>
      </c>
      <c r="B2" s="3">
        <v>87</v>
      </c>
      <c r="C2" s="3">
        <v>87.41</v>
      </c>
      <c r="D2" s="3">
        <v>87</v>
      </c>
      <c r="E2" s="3">
        <v>87.1</v>
      </c>
      <c r="F2" s="3">
        <v>89.8</v>
      </c>
      <c r="G2" s="3">
        <v>87.33</v>
      </c>
      <c r="H2" s="3">
        <v>88.42</v>
      </c>
      <c r="I2" s="3">
        <v>97.58</v>
      </c>
      <c r="L2" s="6">
        <f t="shared" ref="L2:S2" si="0">B10-B2</f>
        <v>1</v>
      </c>
      <c r="M2" s="8">
        <f t="shared" si="0"/>
        <v>1.7700000000000102</v>
      </c>
      <c r="N2" s="8">
        <f t="shared" si="0"/>
        <v>1</v>
      </c>
      <c r="O2" s="6">
        <f t="shared" si="0"/>
        <v>0.88000000000000966</v>
      </c>
      <c r="P2" s="8">
        <f t="shared" si="0"/>
        <v>1.5100000000000051</v>
      </c>
      <c r="Q2" s="8">
        <f t="shared" si="0"/>
        <v>1.730000000000004</v>
      </c>
      <c r="R2" s="6">
        <f t="shared" si="0"/>
        <v>1.2600000000000051</v>
      </c>
      <c r="S2" s="6">
        <f t="shared" si="0"/>
        <v>0.59000000000000341</v>
      </c>
    </row>
    <row r="3" spans="1:19" x14ac:dyDescent="0.4">
      <c r="A3" t="s">
        <v>24</v>
      </c>
      <c r="B3" s="3">
        <v>83</v>
      </c>
      <c r="C3" s="3">
        <v>83.08</v>
      </c>
      <c r="D3" s="3">
        <v>83</v>
      </c>
      <c r="E3" s="3">
        <v>82.85</v>
      </c>
      <c r="F3" s="3">
        <v>83.63</v>
      </c>
      <c r="G3" s="3">
        <v>86.15</v>
      </c>
      <c r="H3" s="3">
        <v>84.63</v>
      </c>
      <c r="I3" s="3">
        <v>95.07</v>
      </c>
      <c r="L3" s="6">
        <f t="shared" ref="L3:S3" si="1">B10-B3</f>
        <v>5</v>
      </c>
      <c r="M3" s="8">
        <f t="shared" si="1"/>
        <v>6.1000000000000085</v>
      </c>
      <c r="N3" s="8">
        <f t="shared" si="1"/>
        <v>5</v>
      </c>
      <c r="O3" s="6">
        <f t="shared" si="1"/>
        <v>5.1300000000000097</v>
      </c>
      <c r="P3" s="8">
        <f t="shared" si="1"/>
        <v>7.6800000000000068</v>
      </c>
      <c r="Q3" s="8">
        <f t="shared" si="1"/>
        <v>2.9099999999999966</v>
      </c>
      <c r="R3" s="6">
        <f t="shared" si="1"/>
        <v>5.0500000000000114</v>
      </c>
      <c r="S3" s="6">
        <f t="shared" si="1"/>
        <v>3.1000000000000085</v>
      </c>
    </row>
    <row r="4" spans="1:19" x14ac:dyDescent="0.4">
      <c r="A4" t="s">
        <v>25</v>
      </c>
      <c r="B4" s="3">
        <v>85</v>
      </c>
      <c r="C4" s="3">
        <v>85.32</v>
      </c>
      <c r="D4" s="3">
        <v>85</v>
      </c>
      <c r="E4" s="3">
        <v>85.08</v>
      </c>
      <c r="F4" s="3">
        <v>86.9</v>
      </c>
      <c r="G4" s="3">
        <v>85.74</v>
      </c>
      <c r="H4" s="3">
        <v>86.24</v>
      </c>
      <c r="I4" s="3">
        <v>96.79</v>
      </c>
      <c r="L4" s="6">
        <f t="shared" ref="L4:S4" si="2">B10-B4</f>
        <v>3</v>
      </c>
      <c r="M4" s="8">
        <f t="shared" si="2"/>
        <v>3.8600000000000136</v>
      </c>
      <c r="N4" s="8">
        <f t="shared" si="2"/>
        <v>3</v>
      </c>
      <c r="O4" s="6">
        <f t="shared" si="2"/>
        <v>2.9000000000000057</v>
      </c>
      <c r="P4" s="8">
        <f t="shared" si="2"/>
        <v>4.4099999999999966</v>
      </c>
      <c r="Q4" s="8">
        <f t="shared" si="2"/>
        <v>3.3200000000000074</v>
      </c>
      <c r="R4" s="6">
        <f t="shared" si="2"/>
        <v>3.4400000000000119</v>
      </c>
      <c r="S4" s="6">
        <f t="shared" si="2"/>
        <v>1.3799999999999955</v>
      </c>
    </row>
    <row r="5" spans="1:19" x14ac:dyDescent="0.4">
      <c r="A5" t="s">
        <v>26</v>
      </c>
      <c r="B5" s="3">
        <v>84</v>
      </c>
      <c r="C5" s="3">
        <v>84.8</v>
      </c>
      <c r="D5" s="3">
        <v>84</v>
      </c>
      <c r="E5" s="3">
        <v>83.97</v>
      </c>
      <c r="F5" s="3">
        <v>87.57</v>
      </c>
      <c r="G5" s="3">
        <v>86.08</v>
      </c>
      <c r="H5" s="3">
        <v>86.46</v>
      </c>
      <c r="I5" s="3">
        <v>95.84</v>
      </c>
      <c r="L5" s="6">
        <f>B10-B5</f>
        <v>4</v>
      </c>
      <c r="M5" s="8">
        <f t="shared" ref="M5:S5" si="3">C10-C5</f>
        <v>4.3800000000000097</v>
      </c>
      <c r="N5" s="8">
        <f t="shared" si="3"/>
        <v>4</v>
      </c>
      <c r="O5" s="6">
        <f t="shared" si="3"/>
        <v>4.0100000000000051</v>
      </c>
      <c r="P5" s="8">
        <f t="shared" si="3"/>
        <v>3.7400000000000091</v>
      </c>
      <c r="Q5" s="8">
        <f t="shared" si="3"/>
        <v>2.980000000000004</v>
      </c>
      <c r="R5" s="6">
        <f t="shared" si="3"/>
        <v>3.2200000000000131</v>
      </c>
      <c r="S5" s="6">
        <f t="shared" si="3"/>
        <v>2.3299999999999983</v>
      </c>
    </row>
    <row r="6" spans="1:19" x14ac:dyDescent="0.4">
      <c r="A6" t="s">
        <v>27</v>
      </c>
      <c r="B6" s="3">
        <v>86</v>
      </c>
      <c r="C6" s="3">
        <v>87.23</v>
      </c>
      <c r="D6" s="3">
        <v>86</v>
      </c>
      <c r="E6" s="3">
        <v>86.06</v>
      </c>
      <c r="F6" s="3">
        <v>89.73</v>
      </c>
      <c r="G6" s="3">
        <v>86.42</v>
      </c>
      <c r="H6" s="3">
        <v>87.56</v>
      </c>
      <c r="I6" s="3">
        <v>97.14</v>
      </c>
      <c r="L6" s="6">
        <f>B10-B6</f>
        <v>2</v>
      </c>
      <c r="M6" s="8">
        <f t="shared" ref="M6:S6" si="4">C10-C6</f>
        <v>1.9500000000000028</v>
      </c>
      <c r="N6" s="8">
        <f t="shared" si="4"/>
        <v>2</v>
      </c>
      <c r="O6" s="6">
        <f t="shared" si="4"/>
        <v>1.9200000000000017</v>
      </c>
      <c r="P6" s="8">
        <f t="shared" si="4"/>
        <v>1.5799999999999983</v>
      </c>
      <c r="Q6" s="8">
        <f t="shared" si="4"/>
        <v>2.6400000000000006</v>
      </c>
      <c r="R6" s="6">
        <f t="shared" si="4"/>
        <v>2.1200000000000045</v>
      </c>
      <c r="S6" s="6">
        <f t="shared" si="4"/>
        <v>1.0300000000000011</v>
      </c>
    </row>
    <row r="7" spans="1:19" x14ac:dyDescent="0.4">
      <c r="A7" t="s">
        <v>28</v>
      </c>
      <c r="B7" s="3">
        <v>85</v>
      </c>
      <c r="C7" s="3">
        <v>86.25</v>
      </c>
      <c r="D7" s="3">
        <v>85</v>
      </c>
      <c r="E7" s="3">
        <v>84.78</v>
      </c>
      <c r="F7" s="3">
        <v>88.93</v>
      </c>
      <c r="G7" s="3">
        <v>87.62</v>
      </c>
      <c r="H7" s="3">
        <v>87.58</v>
      </c>
      <c r="I7" s="3">
        <v>96.44</v>
      </c>
      <c r="L7" s="6">
        <f>B10-B7</f>
        <v>3</v>
      </c>
      <c r="M7" s="8">
        <f t="shared" ref="M7:S7" si="5">C10-C7</f>
        <v>2.9300000000000068</v>
      </c>
      <c r="N7" s="8">
        <f t="shared" si="5"/>
        <v>3</v>
      </c>
      <c r="O7" s="6">
        <f t="shared" si="5"/>
        <v>3.2000000000000028</v>
      </c>
      <c r="P7" s="8">
        <f t="shared" si="5"/>
        <v>2.3799999999999955</v>
      </c>
      <c r="Q7" s="8">
        <f t="shared" si="5"/>
        <v>1.4399999999999977</v>
      </c>
      <c r="R7" s="6">
        <f t="shared" si="5"/>
        <v>2.1000000000000085</v>
      </c>
      <c r="S7" s="6">
        <f t="shared" si="5"/>
        <v>1.730000000000004</v>
      </c>
    </row>
    <row r="8" spans="1:19" s="17" customFormat="1" x14ac:dyDescent="0.4">
      <c r="A8" s="17" t="s">
        <v>29</v>
      </c>
      <c r="B8" s="18">
        <v>87</v>
      </c>
      <c r="C8" s="18">
        <v>86.99</v>
      </c>
      <c r="D8" s="18">
        <v>87</v>
      </c>
      <c r="E8" s="18">
        <v>86.98</v>
      </c>
      <c r="F8" s="18">
        <v>88.37</v>
      </c>
      <c r="G8" s="18">
        <v>88.35</v>
      </c>
      <c r="H8" s="18">
        <v>88.35</v>
      </c>
      <c r="I8" s="18">
        <v>96.92</v>
      </c>
      <c r="L8" s="6">
        <f>B10-B8</f>
        <v>1</v>
      </c>
      <c r="M8" s="6">
        <f t="shared" ref="M8:P8" si="6">C10-C8</f>
        <v>2.1900000000000119</v>
      </c>
      <c r="N8" s="6">
        <f t="shared" si="6"/>
        <v>1</v>
      </c>
      <c r="O8" s="6">
        <f t="shared" si="6"/>
        <v>1</v>
      </c>
      <c r="P8" s="6">
        <f t="shared" si="6"/>
        <v>2.9399999999999977</v>
      </c>
      <c r="Q8" s="6">
        <f t="shared" ref="Q8" si="7">G10-G8</f>
        <v>0.71000000000000796</v>
      </c>
      <c r="R8" s="6">
        <f t="shared" ref="R8" si="8">H10-H8</f>
        <v>1.3300000000000125</v>
      </c>
      <c r="S8" s="6">
        <f t="shared" ref="S8" si="9">I10-I8</f>
        <v>1.25</v>
      </c>
    </row>
    <row r="9" spans="1:19" s="19" customFormat="1" x14ac:dyDescent="0.4">
      <c r="A9" s="17" t="s">
        <v>30</v>
      </c>
      <c r="B9" s="18">
        <v>87</v>
      </c>
      <c r="C9" s="18">
        <v>87.58</v>
      </c>
      <c r="D9" s="18">
        <v>87</v>
      </c>
      <c r="E9" s="18">
        <v>86.99</v>
      </c>
      <c r="F9" s="18">
        <v>89.92</v>
      </c>
      <c r="G9" s="18">
        <v>85.33</v>
      </c>
      <c r="H9" s="18">
        <v>87.12</v>
      </c>
      <c r="I9" s="18">
        <v>97</v>
      </c>
      <c r="L9" s="6">
        <f>B10-B9</f>
        <v>1</v>
      </c>
      <c r="M9" s="6">
        <f t="shared" ref="M9:P9" si="10">C10-C9</f>
        <v>1.6000000000000085</v>
      </c>
      <c r="N9" s="6">
        <f t="shared" si="10"/>
        <v>1</v>
      </c>
      <c r="O9" s="6">
        <f t="shared" si="10"/>
        <v>0.99000000000000909</v>
      </c>
      <c r="P9" s="6">
        <f t="shared" si="10"/>
        <v>1.3900000000000006</v>
      </c>
      <c r="Q9" s="6">
        <f t="shared" ref="Q9" si="11">G10-G9</f>
        <v>3.730000000000004</v>
      </c>
      <c r="R9" s="6">
        <f t="shared" ref="R9" si="12">H10-H9</f>
        <v>2.5600000000000023</v>
      </c>
      <c r="S9" s="6">
        <f t="shared" ref="S9" si="13">I10-I9</f>
        <v>1.1700000000000017</v>
      </c>
    </row>
    <row r="10" spans="1:19" s="4" customFormat="1" x14ac:dyDescent="0.4">
      <c r="A10" s="4" t="s">
        <v>31</v>
      </c>
      <c r="B10" s="5">
        <v>88</v>
      </c>
      <c r="C10" s="5">
        <v>89.18</v>
      </c>
      <c r="D10" s="5">
        <v>88</v>
      </c>
      <c r="E10" s="5">
        <v>87.98</v>
      </c>
      <c r="F10" s="5">
        <v>91.31</v>
      </c>
      <c r="G10" s="5">
        <v>89.06</v>
      </c>
      <c r="H10" s="5">
        <v>89.68</v>
      </c>
      <c r="I10" s="5">
        <v>98.17</v>
      </c>
      <c r="L10" s="21" t="s">
        <v>19</v>
      </c>
      <c r="M10" s="21"/>
      <c r="N10" s="21"/>
      <c r="O10" s="21"/>
      <c r="P10" s="21"/>
      <c r="Q10" s="21"/>
      <c r="R10" s="21"/>
      <c r="S10" s="21"/>
    </row>
    <row r="11" spans="1:19" x14ac:dyDescent="0.4">
      <c r="A11" t="s">
        <v>32</v>
      </c>
      <c r="B11" s="3">
        <v>87</v>
      </c>
      <c r="C11" s="3">
        <v>87.19</v>
      </c>
      <c r="D11" s="3">
        <v>87</v>
      </c>
      <c r="E11" s="3">
        <v>87.05</v>
      </c>
      <c r="F11" s="3">
        <v>89.57</v>
      </c>
      <c r="G11" s="3">
        <v>88.43</v>
      </c>
      <c r="H11" s="3">
        <v>88.95</v>
      </c>
      <c r="I11" s="3">
        <v>97.32</v>
      </c>
      <c r="L11" s="6">
        <f>B10-B11</f>
        <v>1</v>
      </c>
      <c r="M11" s="8">
        <f t="shared" ref="M11:S11" si="14">C10-C11</f>
        <v>1.9900000000000091</v>
      </c>
      <c r="N11" s="8">
        <f t="shared" si="14"/>
        <v>1</v>
      </c>
      <c r="O11" s="6">
        <f t="shared" si="14"/>
        <v>0.93000000000000682</v>
      </c>
      <c r="P11" s="8">
        <f t="shared" si="14"/>
        <v>1.7400000000000091</v>
      </c>
      <c r="Q11" s="8">
        <f t="shared" si="14"/>
        <v>0.62999999999999545</v>
      </c>
      <c r="R11" s="6">
        <f t="shared" si="14"/>
        <v>0.73000000000000398</v>
      </c>
      <c r="S11" s="6">
        <f t="shared" si="14"/>
        <v>0.85000000000000853</v>
      </c>
    </row>
    <row r="12" spans="1:19" x14ac:dyDescent="0.4">
      <c r="A12" t="s">
        <v>33</v>
      </c>
      <c r="B12" s="3">
        <v>87</v>
      </c>
      <c r="C12" s="3">
        <v>87</v>
      </c>
      <c r="D12" s="3">
        <v>87</v>
      </c>
      <c r="E12" s="3">
        <v>86.92</v>
      </c>
      <c r="F12" s="3">
        <v>88.42</v>
      </c>
      <c r="G12" s="3">
        <v>89.48</v>
      </c>
      <c r="H12" s="3">
        <v>88.87</v>
      </c>
      <c r="I12" s="3">
        <v>96.41</v>
      </c>
      <c r="L12" s="6">
        <f>B10-B12</f>
        <v>1</v>
      </c>
      <c r="M12" s="8">
        <f t="shared" ref="M12:S12" si="15">C10-C12</f>
        <v>2.1800000000000068</v>
      </c>
      <c r="N12" s="8">
        <f t="shared" si="15"/>
        <v>1</v>
      </c>
      <c r="O12" s="6">
        <f t="shared" si="15"/>
        <v>1.0600000000000023</v>
      </c>
      <c r="P12" s="8">
        <f t="shared" si="15"/>
        <v>2.8900000000000006</v>
      </c>
      <c r="Q12" s="8">
        <f t="shared" si="15"/>
        <v>-0.42000000000000171</v>
      </c>
      <c r="R12" s="6">
        <f t="shared" si="15"/>
        <v>0.81000000000000227</v>
      </c>
      <c r="S12" s="6">
        <f t="shared" si="15"/>
        <v>1.7600000000000051</v>
      </c>
    </row>
    <row r="13" spans="1:19" x14ac:dyDescent="0.4">
      <c r="A13" t="s">
        <v>34</v>
      </c>
      <c r="B13" s="3">
        <v>87</v>
      </c>
      <c r="C13" s="3">
        <v>87.01</v>
      </c>
      <c r="D13" s="3">
        <v>87</v>
      </c>
      <c r="E13" s="3">
        <v>86.99</v>
      </c>
      <c r="F13" s="3">
        <v>89.45</v>
      </c>
      <c r="G13" s="3">
        <v>89.4</v>
      </c>
      <c r="H13" s="3">
        <v>89.42</v>
      </c>
      <c r="I13" s="3">
        <v>97.52</v>
      </c>
      <c r="K13" s="2"/>
      <c r="L13" s="6">
        <f t="shared" ref="L13:S13" si="16">B10-B13</f>
        <v>1</v>
      </c>
      <c r="M13" s="8">
        <f t="shared" si="16"/>
        <v>2.1700000000000017</v>
      </c>
      <c r="N13" s="8">
        <f t="shared" si="16"/>
        <v>1</v>
      </c>
      <c r="O13" s="6">
        <f t="shared" si="16"/>
        <v>0.99000000000000909</v>
      </c>
      <c r="P13" s="8">
        <f t="shared" si="16"/>
        <v>1.8599999999999994</v>
      </c>
      <c r="Q13" s="8">
        <f t="shared" si="16"/>
        <v>-0.34000000000000341</v>
      </c>
      <c r="R13" s="6">
        <f t="shared" si="16"/>
        <v>0.26000000000000512</v>
      </c>
      <c r="S13" s="6">
        <f t="shared" si="16"/>
        <v>0.65000000000000568</v>
      </c>
    </row>
    <row r="14" spans="1:19" x14ac:dyDescent="0.4">
      <c r="A14" t="s">
        <v>35</v>
      </c>
      <c r="B14">
        <v>76</v>
      </c>
      <c r="C14">
        <v>81.44</v>
      </c>
      <c r="D14">
        <v>76</v>
      </c>
      <c r="E14">
        <v>73.5</v>
      </c>
      <c r="F14">
        <v>82.46</v>
      </c>
      <c r="G14">
        <v>80.040000000000006</v>
      </c>
      <c r="H14">
        <v>76.849999999999994</v>
      </c>
      <c r="I14">
        <v>88.79</v>
      </c>
      <c r="L14" s="6">
        <f>B10-B14</f>
        <v>12</v>
      </c>
      <c r="M14" s="6">
        <f t="shared" ref="M14:S14" si="17">C10-C14</f>
        <v>7.7400000000000091</v>
      </c>
      <c r="N14" s="6">
        <f t="shared" si="17"/>
        <v>12</v>
      </c>
      <c r="O14" s="6">
        <f t="shared" si="17"/>
        <v>14.480000000000004</v>
      </c>
      <c r="P14" s="6">
        <f t="shared" si="17"/>
        <v>8.8500000000000085</v>
      </c>
      <c r="Q14" s="6">
        <f t="shared" si="17"/>
        <v>9.019999999999996</v>
      </c>
      <c r="R14" s="6">
        <f t="shared" si="17"/>
        <v>12.830000000000013</v>
      </c>
      <c r="S14" s="6">
        <f t="shared" si="17"/>
        <v>9.3799999999999955</v>
      </c>
    </row>
    <row r="16" spans="1:19" x14ac:dyDescent="0.4">
      <c r="L16" s="20" t="s">
        <v>20</v>
      </c>
      <c r="M16" s="20"/>
      <c r="N16" s="20"/>
      <c r="O16" s="20"/>
      <c r="P16" s="20"/>
      <c r="Q16" s="20"/>
      <c r="R16" s="20"/>
      <c r="S16" s="20"/>
    </row>
    <row r="17" spans="7:29" x14ac:dyDescent="0.4">
      <c r="G17" s="16">
        <f>AVERAGE(L17:L22)</f>
        <v>3.553305226593976</v>
      </c>
      <c r="H17" s="16">
        <f>AVERAGE(O17:O22)</f>
        <v>3.565299083813537</v>
      </c>
      <c r="I17" s="16">
        <f>AVERAGE(R17:R22)</f>
        <v>3.3207177560090506</v>
      </c>
      <c r="J17" s="16">
        <f>AVERAGE(S17:S22)</f>
        <v>1.7627460752936315</v>
      </c>
      <c r="L17" s="14">
        <f t="shared" ref="L17:S24" si="18">L2/B2*100</f>
        <v>1.1494252873563218</v>
      </c>
      <c r="M17" s="16">
        <f t="shared" si="18"/>
        <v>2.0249399382221833</v>
      </c>
      <c r="N17" s="16">
        <f t="shared" si="18"/>
        <v>1.1494252873563218</v>
      </c>
      <c r="O17" s="14">
        <f t="shared" si="18"/>
        <v>1.0103329506314693</v>
      </c>
      <c r="P17" s="16">
        <f t="shared" si="18"/>
        <v>1.681514476614705</v>
      </c>
      <c r="Q17" s="16">
        <f t="shared" si="18"/>
        <v>1.9809916409023292</v>
      </c>
      <c r="R17" s="14">
        <f t="shared" si="18"/>
        <v>1.4250169644876782</v>
      </c>
      <c r="S17" s="14">
        <f t="shared" si="18"/>
        <v>0.60463209674113894</v>
      </c>
    </row>
    <row r="18" spans="7:29" x14ac:dyDescent="0.4">
      <c r="L18" s="14">
        <f t="shared" si="18"/>
        <v>6.024096385542169</v>
      </c>
      <c r="M18" s="16">
        <f t="shared" si="18"/>
        <v>7.3423206547905737</v>
      </c>
      <c r="N18" s="16">
        <f t="shared" si="18"/>
        <v>6.024096385542169</v>
      </c>
      <c r="O18" s="14">
        <f t="shared" si="18"/>
        <v>6.1919130959565605</v>
      </c>
      <c r="P18" s="16">
        <f t="shared" si="18"/>
        <v>9.1833074255649976</v>
      </c>
      <c r="Q18" s="16">
        <f t="shared" si="18"/>
        <v>3.3778293673824686</v>
      </c>
      <c r="R18" s="14">
        <f t="shared" si="18"/>
        <v>5.9671511284414649</v>
      </c>
      <c r="S18" s="14">
        <f t="shared" si="18"/>
        <v>3.2607552329862304</v>
      </c>
    </row>
    <row r="19" spans="7:29" x14ac:dyDescent="0.4">
      <c r="L19" s="14">
        <f t="shared" si="18"/>
        <v>3.5294117647058822</v>
      </c>
      <c r="M19" s="16">
        <f t="shared" si="18"/>
        <v>4.5241443975621358</v>
      </c>
      <c r="N19" s="16">
        <f t="shared" si="18"/>
        <v>3.5294117647058822</v>
      </c>
      <c r="O19" s="14">
        <f t="shared" si="18"/>
        <v>3.408556652562301</v>
      </c>
      <c r="P19" s="16">
        <f t="shared" si="18"/>
        <v>5.0747986191024124</v>
      </c>
      <c r="Q19" s="16">
        <f t="shared" si="18"/>
        <v>3.8721716818287932</v>
      </c>
      <c r="R19" s="14">
        <f t="shared" si="18"/>
        <v>3.9888682745825745</v>
      </c>
      <c r="S19" s="14">
        <f t="shared" si="18"/>
        <v>1.4257671247029604</v>
      </c>
    </row>
    <row r="20" spans="7:29" x14ac:dyDescent="0.4">
      <c r="L20" s="14">
        <f t="shared" si="18"/>
        <v>4.7619047619047619</v>
      </c>
      <c r="M20" s="16">
        <f t="shared" si="18"/>
        <v>5.1650943396226525</v>
      </c>
      <c r="N20" s="16">
        <f t="shared" si="18"/>
        <v>4.7619047619047619</v>
      </c>
      <c r="O20" s="14">
        <f t="shared" si="18"/>
        <v>4.7755150649041385</v>
      </c>
      <c r="P20" s="16">
        <f t="shared" si="18"/>
        <v>4.270869019070469</v>
      </c>
      <c r="Q20" s="16">
        <f t="shared" si="18"/>
        <v>3.4618959107806742</v>
      </c>
      <c r="R20" s="14">
        <f t="shared" si="18"/>
        <v>3.7242655563266407</v>
      </c>
      <c r="S20" s="14">
        <f t="shared" si="18"/>
        <v>2.4311352253756242</v>
      </c>
    </row>
    <row r="21" spans="7:29" x14ac:dyDescent="0.4">
      <c r="L21" s="14">
        <f t="shared" si="18"/>
        <v>2.3255813953488373</v>
      </c>
      <c r="M21" s="16">
        <f t="shared" si="18"/>
        <v>2.2354694485842059</v>
      </c>
      <c r="N21" s="16">
        <f t="shared" si="18"/>
        <v>2.3255813953488373</v>
      </c>
      <c r="O21" s="14">
        <f t="shared" si="18"/>
        <v>2.2310016267720214</v>
      </c>
      <c r="P21" s="16">
        <f t="shared" si="18"/>
        <v>1.760838069764848</v>
      </c>
      <c r="Q21" s="16">
        <f t="shared" si="18"/>
        <v>3.054848414718816</v>
      </c>
      <c r="R21" s="14">
        <f t="shared" si="18"/>
        <v>2.4211968935587076</v>
      </c>
      <c r="S21" s="14">
        <f t="shared" si="18"/>
        <v>1.0603253036854037</v>
      </c>
    </row>
    <row r="22" spans="7:29" x14ac:dyDescent="0.4">
      <c r="L22" s="14">
        <f t="shared" si="18"/>
        <v>3.5294117647058822</v>
      </c>
      <c r="M22" s="16">
        <f t="shared" si="18"/>
        <v>3.3971014492753699</v>
      </c>
      <c r="N22" s="16">
        <f t="shared" si="18"/>
        <v>3.5294117647058822</v>
      </c>
      <c r="O22" s="14">
        <f t="shared" si="18"/>
        <v>3.7744751120547329</v>
      </c>
      <c r="P22" s="16">
        <f t="shared" si="18"/>
        <v>2.6762622287192119</v>
      </c>
      <c r="Q22" s="16">
        <f t="shared" si="18"/>
        <v>1.6434603971695934</v>
      </c>
      <c r="R22" s="14">
        <f t="shared" si="18"/>
        <v>2.3978077186572375</v>
      </c>
      <c r="S22" s="14">
        <f t="shared" si="18"/>
        <v>1.7938614682704315</v>
      </c>
    </row>
    <row r="23" spans="7:29" s="15" customFormat="1" x14ac:dyDescent="0.4">
      <c r="L23" s="14">
        <f t="shared" si="18"/>
        <v>1.1494252873563218</v>
      </c>
      <c r="M23" s="16">
        <f t="shared" si="18"/>
        <v>2.5175307506610096</v>
      </c>
      <c r="N23" s="16">
        <f t="shared" si="18"/>
        <v>1.1494252873563218</v>
      </c>
      <c r="O23" s="14">
        <f t="shared" si="18"/>
        <v>1.1496895838123706</v>
      </c>
      <c r="P23" s="16">
        <f t="shared" si="18"/>
        <v>3.3269209007581728</v>
      </c>
      <c r="Q23" s="16">
        <f t="shared" si="18"/>
        <v>0.80362195812111825</v>
      </c>
      <c r="R23" s="14">
        <f t="shared" si="18"/>
        <v>1.5053763440860357</v>
      </c>
      <c r="S23" s="14">
        <f t="shared" si="18"/>
        <v>1.2897234832851836</v>
      </c>
    </row>
    <row r="24" spans="7:29" s="15" customFormat="1" x14ac:dyDescent="0.4">
      <c r="L24" s="14">
        <f t="shared" si="18"/>
        <v>1.1494252873563218</v>
      </c>
      <c r="M24" s="16">
        <f t="shared" si="18"/>
        <v>1.8269011189769451</v>
      </c>
      <c r="N24" s="16">
        <f t="shared" si="18"/>
        <v>1.1494252873563218</v>
      </c>
      <c r="O24" s="14">
        <f t="shared" si="18"/>
        <v>1.1380618461892276</v>
      </c>
      <c r="P24" s="16">
        <f t="shared" si="18"/>
        <v>1.5458185053380789</v>
      </c>
      <c r="Q24" s="16">
        <f t="shared" si="18"/>
        <v>4.3712645025196348</v>
      </c>
      <c r="R24" s="14">
        <f t="shared" si="18"/>
        <v>2.9384756657483955</v>
      </c>
      <c r="S24" s="14">
        <f t="shared" si="18"/>
        <v>1.206185567010311</v>
      </c>
      <c r="U24" s="16">
        <f>AVERAGE(L23:L24)</f>
        <v>1.1494252873563218</v>
      </c>
      <c r="V24" s="16">
        <f t="shared" ref="V24:AB24" si="19">AVERAGE(M23:M24)</f>
        <v>2.1722159348189773</v>
      </c>
      <c r="W24" s="16">
        <f t="shared" si="19"/>
        <v>1.1494252873563218</v>
      </c>
      <c r="X24" s="16">
        <f t="shared" si="19"/>
        <v>1.143875715000799</v>
      </c>
      <c r="Y24" s="16">
        <f t="shared" si="19"/>
        <v>2.4363697030481259</v>
      </c>
      <c r="Z24" s="16">
        <f t="shared" si="19"/>
        <v>2.5874432303203765</v>
      </c>
      <c r="AA24" s="16">
        <f t="shared" si="19"/>
        <v>2.2219260049172158</v>
      </c>
      <c r="AB24" s="16">
        <f t="shared" si="19"/>
        <v>1.2479545251477473</v>
      </c>
      <c r="AC24" s="16"/>
    </row>
    <row r="25" spans="7:29" s="15" customFormat="1" x14ac:dyDescent="0.4">
      <c r="K25" s="15" t="s">
        <v>22</v>
      </c>
      <c r="L25" s="14">
        <f t="shared" ref="L25:S25" si="20">AVERAGE(L17:L24)</f>
        <v>2.9523352417845627</v>
      </c>
      <c r="M25" s="14">
        <f t="shared" si="20"/>
        <v>3.6291877622118842</v>
      </c>
      <c r="N25" s="14">
        <f t="shared" si="20"/>
        <v>2.9523352417845627</v>
      </c>
      <c r="O25" s="14">
        <f t="shared" si="20"/>
        <v>2.9599432416103526</v>
      </c>
      <c r="P25" s="14">
        <f t="shared" si="20"/>
        <v>3.6900411556166119</v>
      </c>
      <c r="Q25" s="14">
        <f t="shared" si="20"/>
        <v>2.8207604841779288</v>
      </c>
      <c r="R25" s="14">
        <f t="shared" si="20"/>
        <v>3.0460198182360916</v>
      </c>
      <c r="S25" s="14">
        <f t="shared" si="20"/>
        <v>1.6340481877571602</v>
      </c>
    </row>
    <row r="26" spans="7:29" x14ac:dyDescent="0.4">
      <c r="L26" s="22" t="s">
        <v>21</v>
      </c>
      <c r="M26" s="22"/>
      <c r="N26" s="22"/>
      <c r="O26" s="22"/>
      <c r="P26" s="22"/>
      <c r="Q26" s="22"/>
      <c r="R26" s="22"/>
      <c r="S26" s="22"/>
    </row>
    <row r="27" spans="7:29" x14ac:dyDescent="0.4">
      <c r="L27" s="11">
        <f t="shared" ref="L27:S27" si="21">L11/B10*100</f>
        <v>1.1363636363636365</v>
      </c>
      <c r="M27" s="9">
        <f t="shared" si="21"/>
        <v>2.2314420273604045</v>
      </c>
      <c r="N27" s="9">
        <f t="shared" si="21"/>
        <v>1.1363636363636365</v>
      </c>
      <c r="O27" s="11">
        <f t="shared" si="21"/>
        <v>1.0570584223687278</v>
      </c>
      <c r="P27" s="9">
        <f t="shared" si="21"/>
        <v>1.9055963202278055</v>
      </c>
      <c r="Q27" s="9">
        <f t="shared" si="21"/>
        <v>0.70738827756568101</v>
      </c>
      <c r="R27" s="11">
        <f t="shared" si="21"/>
        <v>0.81400535236396521</v>
      </c>
      <c r="S27" s="11">
        <f t="shared" si="21"/>
        <v>0.86584496281960732</v>
      </c>
    </row>
    <row r="28" spans="7:29" x14ac:dyDescent="0.4">
      <c r="L28" s="11">
        <f t="shared" ref="L28:S28" si="22">L12/B10*100</f>
        <v>1.1363636363636365</v>
      </c>
      <c r="M28" s="9">
        <f t="shared" si="22"/>
        <v>2.4444942812289825</v>
      </c>
      <c r="N28" s="9">
        <f t="shared" si="22"/>
        <v>1.1363636363636365</v>
      </c>
      <c r="O28" s="11">
        <f t="shared" si="22"/>
        <v>1.2048192771084363</v>
      </c>
      <c r="P28" s="9">
        <f t="shared" si="22"/>
        <v>3.1650421640565112</v>
      </c>
      <c r="Q28" s="9">
        <f t="shared" si="22"/>
        <v>-0.47159218504379263</v>
      </c>
      <c r="R28" s="11">
        <f t="shared" si="22"/>
        <v>0.90321141837645202</v>
      </c>
      <c r="S28" s="11">
        <f t="shared" si="22"/>
        <v>1.7928083936029391</v>
      </c>
    </row>
    <row r="29" spans="7:29" x14ac:dyDescent="0.4">
      <c r="L29" s="11">
        <f t="shared" ref="L29:S29" si="23">L13/B10*100</f>
        <v>1.1363636363636365</v>
      </c>
      <c r="M29" s="9">
        <f t="shared" si="23"/>
        <v>2.4332810047095776</v>
      </c>
      <c r="N29" s="9">
        <f t="shared" si="23"/>
        <v>1.1363636363636365</v>
      </c>
      <c r="O29" s="11">
        <f t="shared" si="23"/>
        <v>1.125255739940906</v>
      </c>
      <c r="P29" s="9">
        <f t="shared" si="23"/>
        <v>2.0370167561055736</v>
      </c>
      <c r="Q29" s="9">
        <f t="shared" si="23"/>
        <v>-0.38176510217831056</v>
      </c>
      <c r="R29" s="11">
        <f t="shared" si="23"/>
        <v>0.28991971454059445</v>
      </c>
      <c r="S29" s="11">
        <f t="shared" si="23"/>
        <v>0.66211673627381651</v>
      </c>
    </row>
    <row r="30" spans="7:29" x14ac:dyDescent="0.4">
      <c r="L30" s="11">
        <f>L14/B10*100</f>
        <v>13.636363636363635</v>
      </c>
      <c r="M30" s="11">
        <f t="shared" ref="M30:S30" si="24">M14/C10*100</f>
        <v>8.6790760260148101</v>
      </c>
      <c r="N30" s="11">
        <f t="shared" si="24"/>
        <v>13.636363636363635</v>
      </c>
      <c r="O30" s="11">
        <f t="shared" si="24"/>
        <v>16.458285974085022</v>
      </c>
      <c r="P30" s="11">
        <f t="shared" si="24"/>
        <v>9.6922571459862112</v>
      </c>
      <c r="Q30" s="11">
        <f t="shared" si="24"/>
        <v>10.12800359308331</v>
      </c>
      <c r="R30" s="11">
        <f t="shared" si="24"/>
        <v>14.306422836752914</v>
      </c>
      <c r="S30" s="11">
        <f t="shared" si="24"/>
        <v>9.5548538249974495</v>
      </c>
    </row>
  </sheetData>
  <mergeCells count="4">
    <mergeCell ref="L1:S1"/>
    <mergeCell ref="L10:S10"/>
    <mergeCell ref="L16:S16"/>
    <mergeCell ref="L26:S26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E8DA-E731-4B63-9062-9B9C873ED9F5}">
  <dimension ref="A1:R41"/>
  <sheetViews>
    <sheetView zoomScaleNormal="100" workbookViewId="0">
      <selection activeCell="F32" sqref="F32"/>
    </sheetView>
  </sheetViews>
  <sheetFormatPr defaultRowHeight="13.9" x14ac:dyDescent="0.4"/>
  <sheetData>
    <row r="1" spans="1:18" x14ac:dyDescent="0.4">
      <c r="A1" s="15" t="s">
        <v>17</v>
      </c>
      <c r="B1" s="15" t="s">
        <v>16</v>
      </c>
      <c r="C1" s="15" t="s">
        <v>9</v>
      </c>
      <c r="D1" s="15" t="s">
        <v>10</v>
      </c>
      <c r="E1" s="15" t="s">
        <v>15</v>
      </c>
      <c r="F1" s="15" t="s">
        <v>11</v>
      </c>
      <c r="G1" s="15" t="s">
        <v>12</v>
      </c>
      <c r="H1" s="15" t="s">
        <v>13</v>
      </c>
      <c r="I1" s="15" t="s">
        <v>14</v>
      </c>
      <c r="K1" s="10"/>
    </row>
    <row r="2" spans="1:18" x14ac:dyDescent="0.4">
      <c r="A2" s="15">
        <v>350</v>
      </c>
      <c r="B2" s="16">
        <v>76</v>
      </c>
      <c r="C2" s="16">
        <v>81.44</v>
      </c>
      <c r="D2" s="16">
        <v>76</v>
      </c>
      <c r="E2" s="16">
        <v>73.5</v>
      </c>
      <c r="F2" s="16">
        <v>82.46</v>
      </c>
      <c r="G2" s="16">
        <v>80.040000000000006</v>
      </c>
      <c r="H2" s="16">
        <v>76.849999999999994</v>
      </c>
      <c r="I2" s="16">
        <v>88.79</v>
      </c>
      <c r="K2" s="10">
        <f>B10-B2</f>
        <v>12</v>
      </c>
      <c r="L2" s="10">
        <f t="shared" ref="L2:R2" si="0">C10-C2</f>
        <v>7.7400000000000091</v>
      </c>
      <c r="M2" s="10">
        <f t="shared" si="0"/>
        <v>12</v>
      </c>
      <c r="N2" s="10">
        <f t="shared" si="0"/>
        <v>14.480000000000004</v>
      </c>
      <c r="O2" s="10">
        <f t="shared" si="0"/>
        <v>8.8500000000000085</v>
      </c>
      <c r="P2" s="10">
        <f t="shared" si="0"/>
        <v>9.019999999999996</v>
      </c>
      <c r="Q2" s="10">
        <f t="shared" si="0"/>
        <v>12.830000000000013</v>
      </c>
      <c r="R2" s="10">
        <f t="shared" si="0"/>
        <v>9.3799999999999955</v>
      </c>
    </row>
    <row r="3" spans="1:18" x14ac:dyDescent="0.4">
      <c r="A3" s="15">
        <v>500</v>
      </c>
      <c r="B3" s="16">
        <v>77</v>
      </c>
      <c r="C3" s="16">
        <v>81.239999999999995</v>
      </c>
      <c r="D3" s="16">
        <v>77</v>
      </c>
      <c r="E3" s="16">
        <v>75.37</v>
      </c>
      <c r="F3" s="16">
        <v>83.96</v>
      </c>
      <c r="G3" s="16">
        <v>80.91</v>
      </c>
      <c r="H3" s="16">
        <v>79.34</v>
      </c>
      <c r="I3" s="16">
        <v>90.45</v>
      </c>
      <c r="K3" s="10">
        <f>B10-B3</f>
        <v>11</v>
      </c>
      <c r="L3" s="10">
        <f t="shared" ref="L3:R3" si="1">C10-C3</f>
        <v>7.9400000000000119</v>
      </c>
      <c r="M3" s="10">
        <f t="shared" si="1"/>
        <v>11</v>
      </c>
      <c r="N3" s="10">
        <f t="shared" si="1"/>
        <v>12.61</v>
      </c>
      <c r="O3" s="10">
        <f t="shared" si="1"/>
        <v>7.3500000000000085</v>
      </c>
      <c r="P3" s="10">
        <f t="shared" si="1"/>
        <v>8.1500000000000057</v>
      </c>
      <c r="Q3" s="10">
        <f t="shared" si="1"/>
        <v>10.340000000000003</v>
      </c>
      <c r="R3" s="10">
        <f t="shared" si="1"/>
        <v>7.7199999999999989</v>
      </c>
    </row>
    <row r="4" spans="1:18" x14ac:dyDescent="0.4">
      <c r="A4" s="15">
        <v>1000</v>
      </c>
      <c r="B4" s="16">
        <v>80</v>
      </c>
      <c r="C4" s="16">
        <v>85.97</v>
      </c>
      <c r="D4" s="16">
        <v>80</v>
      </c>
      <c r="E4" s="16">
        <v>78.430000000000007</v>
      </c>
      <c r="F4" s="16">
        <v>87.86</v>
      </c>
      <c r="G4" s="16">
        <v>83.33</v>
      </c>
      <c r="H4" s="16">
        <v>81.84</v>
      </c>
      <c r="I4" s="16">
        <v>92.73</v>
      </c>
      <c r="K4" s="10">
        <f>B10-B4</f>
        <v>8</v>
      </c>
      <c r="L4" s="10">
        <f t="shared" ref="L4:R4" si="2">C10-C4</f>
        <v>3.210000000000008</v>
      </c>
      <c r="M4" s="10">
        <f t="shared" si="2"/>
        <v>8</v>
      </c>
      <c r="N4" s="10">
        <f t="shared" si="2"/>
        <v>9.5499999999999972</v>
      </c>
      <c r="O4" s="10">
        <f t="shared" si="2"/>
        <v>3.4500000000000028</v>
      </c>
      <c r="P4" s="10">
        <f t="shared" si="2"/>
        <v>5.730000000000004</v>
      </c>
      <c r="Q4" s="10">
        <f t="shared" si="2"/>
        <v>7.8400000000000034</v>
      </c>
      <c r="R4" s="10">
        <f t="shared" si="2"/>
        <v>5.4399999999999977</v>
      </c>
    </row>
    <row r="5" spans="1:18" x14ac:dyDescent="0.4">
      <c r="A5" s="15">
        <v>2000</v>
      </c>
      <c r="B5" s="16">
        <v>82</v>
      </c>
      <c r="C5" s="16">
        <v>86.95</v>
      </c>
      <c r="D5" s="16">
        <v>82</v>
      </c>
      <c r="E5" s="16">
        <v>80.83</v>
      </c>
      <c r="F5" s="16">
        <v>88.64</v>
      </c>
      <c r="G5" s="16">
        <v>85</v>
      </c>
      <c r="H5" s="16">
        <v>83.81</v>
      </c>
      <c r="I5" s="16">
        <v>93.95</v>
      </c>
      <c r="K5" s="10">
        <f>B10-B5</f>
        <v>6</v>
      </c>
      <c r="L5" s="10">
        <f t="shared" ref="L5:R5" si="3">C10-C5</f>
        <v>2.230000000000004</v>
      </c>
      <c r="M5" s="10">
        <f t="shared" si="3"/>
        <v>6</v>
      </c>
      <c r="N5" s="10">
        <f t="shared" si="3"/>
        <v>7.1500000000000057</v>
      </c>
      <c r="O5" s="10">
        <f t="shared" si="3"/>
        <v>2.6700000000000017</v>
      </c>
      <c r="P5" s="10">
        <f t="shared" si="3"/>
        <v>4.0600000000000023</v>
      </c>
      <c r="Q5" s="10">
        <f t="shared" si="3"/>
        <v>5.8700000000000045</v>
      </c>
      <c r="R5" s="10">
        <f t="shared" si="3"/>
        <v>4.2199999999999989</v>
      </c>
    </row>
    <row r="6" spans="1:18" x14ac:dyDescent="0.4">
      <c r="A6" s="15">
        <v>3000</v>
      </c>
      <c r="B6" s="16">
        <v>84</v>
      </c>
      <c r="C6" s="16">
        <v>84.8</v>
      </c>
      <c r="D6" s="16">
        <v>84</v>
      </c>
      <c r="E6" s="16">
        <v>83.97</v>
      </c>
      <c r="F6" s="16">
        <v>87.57</v>
      </c>
      <c r="G6" s="16">
        <v>86.08</v>
      </c>
      <c r="H6" s="16">
        <v>86.46</v>
      </c>
      <c r="I6" s="16">
        <v>95.85</v>
      </c>
      <c r="K6" s="10">
        <f>B10-B6</f>
        <v>4</v>
      </c>
      <c r="L6" s="10">
        <f t="shared" ref="L6:R6" si="4">C10-C6</f>
        <v>4.3800000000000097</v>
      </c>
      <c r="M6" s="10">
        <f t="shared" si="4"/>
        <v>4</v>
      </c>
      <c r="N6" s="10">
        <f t="shared" si="4"/>
        <v>4.0100000000000051</v>
      </c>
      <c r="O6" s="10">
        <f t="shared" si="4"/>
        <v>3.7400000000000091</v>
      </c>
      <c r="P6" s="10">
        <f t="shared" si="4"/>
        <v>2.980000000000004</v>
      </c>
      <c r="Q6" s="10">
        <f t="shared" si="4"/>
        <v>3.2200000000000131</v>
      </c>
      <c r="R6" s="10">
        <f t="shared" si="4"/>
        <v>2.3200000000000074</v>
      </c>
    </row>
    <row r="7" spans="1:18" x14ac:dyDescent="0.4">
      <c r="A7" s="15">
        <v>4000</v>
      </c>
      <c r="B7" s="16">
        <v>85</v>
      </c>
      <c r="C7" s="16">
        <v>85.72</v>
      </c>
      <c r="D7" s="16">
        <v>85</v>
      </c>
      <c r="E7" s="16">
        <v>84.86</v>
      </c>
      <c r="F7" s="16">
        <v>88.48</v>
      </c>
      <c r="G7" s="16">
        <v>87.66</v>
      </c>
      <c r="H7" s="16">
        <v>87.66</v>
      </c>
      <c r="I7" s="16">
        <v>93.89</v>
      </c>
      <c r="K7" s="10">
        <f>B10-B7</f>
        <v>3</v>
      </c>
      <c r="L7" s="10">
        <f t="shared" ref="L7:R7" si="5">C10-C7</f>
        <v>3.460000000000008</v>
      </c>
      <c r="M7" s="10">
        <f t="shared" si="5"/>
        <v>3</v>
      </c>
      <c r="N7" s="10">
        <f t="shared" si="5"/>
        <v>3.1200000000000045</v>
      </c>
      <c r="O7" s="10">
        <f t="shared" si="5"/>
        <v>2.8299999999999983</v>
      </c>
      <c r="P7" s="10">
        <f t="shared" si="5"/>
        <v>1.4000000000000057</v>
      </c>
      <c r="Q7" s="10">
        <f t="shared" si="5"/>
        <v>2.0200000000000102</v>
      </c>
      <c r="R7" s="10">
        <f t="shared" si="5"/>
        <v>4.2800000000000011</v>
      </c>
    </row>
    <row r="8" spans="1:18" x14ac:dyDescent="0.4">
      <c r="A8" s="15">
        <v>6000</v>
      </c>
      <c r="B8" s="16">
        <v>86</v>
      </c>
      <c r="C8" s="16">
        <v>87.01</v>
      </c>
      <c r="D8" s="16">
        <v>86</v>
      </c>
      <c r="E8" s="16">
        <v>85.83</v>
      </c>
      <c r="F8" s="16">
        <v>89.54</v>
      </c>
      <c r="G8" s="16">
        <v>88.45</v>
      </c>
      <c r="H8" s="16">
        <v>88.45</v>
      </c>
      <c r="I8" s="16">
        <v>95.13</v>
      </c>
      <c r="K8" s="10">
        <f>B10-B8</f>
        <v>2</v>
      </c>
      <c r="L8" s="10">
        <f t="shared" ref="L8:R8" si="6">C10-C8</f>
        <v>2.1700000000000017</v>
      </c>
      <c r="M8" s="10">
        <f t="shared" si="6"/>
        <v>2</v>
      </c>
      <c r="N8" s="10">
        <f t="shared" si="6"/>
        <v>2.1500000000000057</v>
      </c>
      <c r="O8" s="10">
        <f t="shared" si="6"/>
        <v>1.769999999999996</v>
      </c>
      <c r="P8" s="10">
        <f t="shared" si="6"/>
        <v>0.60999999999999943</v>
      </c>
      <c r="Q8" s="10">
        <f t="shared" si="6"/>
        <v>1.230000000000004</v>
      </c>
      <c r="R8" s="10">
        <f t="shared" si="6"/>
        <v>3.0400000000000063</v>
      </c>
    </row>
    <row r="9" spans="1:18" x14ac:dyDescent="0.4">
      <c r="A9" s="15">
        <v>8000</v>
      </c>
      <c r="B9" s="16">
        <v>87</v>
      </c>
      <c r="C9" s="16">
        <v>87.39</v>
      </c>
      <c r="D9" s="16">
        <v>87</v>
      </c>
      <c r="E9" s="16">
        <v>86.93</v>
      </c>
      <c r="F9" s="16">
        <v>89.81</v>
      </c>
      <c r="G9" s="16">
        <v>89.33</v>
      </c>
      <c r="H9" s="16">
        <v>89.35</v>
      </c>
      <c r="I9" s="16">
        <v>96.46</v>
      </c>
      <c r="K9" s="10">
        <f>B10-B9</f>
        <v>1</v>
      </c>
      <c r="L9" s="10">
        <f t="shared" ref="L9:R9" si="7">C10-C9</f>
        <v>1.7900000000000063</v>
      </c>
      <c r="M9" s="10">
        <f t="shared" si="7"/>
        <v>1</v>
      </c>
      <c r="N9" s="10">
        <f t="shared" si="7"/>
        <v>1.0499999999999972</v>
      </c>
      <c r="O9" s="10">
        <f t="shared" si="7"/>
        <v>1.5</v>
      </c>
      <c r="P9" s="10">
        <f t="shared" si="7"/>
        <v>-0.26999999999999602</v>
      </c>
      <c r="Q9" s="10">
        <f t="shared" si="7"/>
        <v>0.33000000000001251</v>
      </c>
      <c r="R9" s="10">
        <f t="shared" si="7"/>
        <v>1.710000000000008</v>
      </c>
    </row>
    <row r="10" spans="1:18" s="13" customFormat="1" x14ac:dyDescent="0.4">
      <c r="A10" s="13">
        <v>10000</v>
      </c>
      <c r="B10" s="12">
        <v>88</v>
      </c>
      <c r="C10" s="12">
        <v>89.18</v>
      </c>
      <c r="D10" s="12">
        <v>88</v>
      </c>
      <c r="E10" s="12">
        <v>87.98</v>
      </c>
      <c r="F10" s="12">
        <v>91.31</v>
      </c>
      <c r="G10" s="12">
        <v>89.06</v>
      </c>
      <c r="H10" s="12">
        <v>89.68</v>
      </c>
      <c r="I10" s="12">
        <v>98.17</v>
      </c>
      <c r="K10" s="10"/>
      <c r="L10" s="10"/>
      <c r="M10" s="10"/>
      <c r="N10" s="10"/>
      <c r="O10" s="10"/>
      <c r="P10" s="10"/>
      <c r="Q10" s="10"/>
      <c r="R10" s="10"/>
    </row>
    <row r="11" spans="1:18" x14ac:dyDescent="0.4">
      <c r="A11" s="15">
        <v>12000</v>
      </c>
      <c r="B11" s="16">
        <v>87</v>
      </c>
      <c r="C11" s="16">
        <v>87.17</v>
      </c>
      <c r="D11" s="16">
        <v>87</v>
      </c>
      <c r="E11" s="16">
        <v>86.99</v>
      </c>
      <c r="F11" s="16">
        <v>89.52</v>
      </c>
      <c r="G11" s="16">
        <v>89.48</v>
      </c>
      <c r="H11" s="16">
        <v>89.43</v>
      </c>
      <c r="I11" s="16">
        <v>95.71</v>
      </c>
      <c r="K11" s="8">
        <f>B10-B11</f>
        <v>1</v>
      </c>
      <c r="L11" s="8">
        <f t="shared" ref="L11:R11" si="8">C10-C11</f>
        <v>2.0100000000000051</v>
      </c>
      <c r="M11" s="8">
        <f t="shared" si="8"/>
        <v>1</v>
      </c>
      <c r="N11" s="8">
        <f t="shared" si="8"/>
        <v>0.99000000000000909</v>
      </c>
      <c r="O11" s="8">
        <f t="shared" si="8"/>
        <v>1.7900000000000063</v>
      </c>
      <c r="P11" s="8">
        <f t="shared" si="8"/>
        <v>-0.42000000000000171</v>
      </c>
      <c r="Q11" s="8">
        <f t="shared" si="8"/>
        <v>0.25</v>
      </c>
      <c r="R11" s="8">
        <f t="shared" si="8"/>
        <v>2.460000000000008</v>
      </c>
    </row>
    <row r="12" spans="1:18" x14ac:dyDescent="0.4">
      <c r="A12" s="15">
        <v>14000</v>
      </c>
      <c r="B12" s="16">
        <v>88</v>
      </c>
      <c r="C12" s="16">
        <v>88.01</v>
      </c>
      <c r="D12" s="16">
        <v>88</v>
      </c>
      <c r="E12" s="16">
        <v>87.99</v>
      </c>
      <c r="F12" s="16">
        <v>88.24</v>
      </c>
      <c r="G12" s="16">
        <v>89.18</v>
      </c>
      <c r="H12" s="16">
        <v>88.68</v>
      </c>
      <c r="I12" s="16">
        <v>97.17</v>
      </c>
      <c r="K12" s="8">
        <f>B10-B12</f>
        <v>0</v>
      </c>
      <c r="L12" s="8">
        <f t="shared" ref="L12:R12" si="9">C10-C12</f>
        <v>1.1700000000000017</v>
      </c>
      <c r="M12" s="8">
        <f t="shared" si="9"/>
        <v>0</v>
      </c>
      <c r="N12" s="8">
        <f t="shared" si="9"/>
        <v>-9.9999999999909051E-3</v>
      </c>
      <c r="O12" s="8">
        <f t="shared" si="9"/>
        <v>3.0700000000000074</v>
      </c>
      <c r="P12" s="8">
        <f t="shared" si="9"/>
        <v>-0.12000000000000455</v>
      </c>
      <c r="Q12" s="8">
        <f t="shared" si="9"/>
        <v>1</v>
      </c>
      <c r="R12" s="8">
        <f t="shared" si="9"/>
        <v>1</v>
      </c>
    </row>
    <row r="13" spans="1:18" x14ac:dyDescent="0.4">
      <c r="A13" s="15">
        <v>16000</v>
      </c>
      <c r="B13" s="16">
        <v>88</v>
      </c>
      <c r="C13" s="16">
        <v>88.15</v>
      </c>
      <c r="D13" s="16">
        <v>88</v>
      </c>
      <c r="E13" s="16">
        <v>88.05</v>
      </c>
      <c r="F13" s="16">
        <v>90.36</v>
      </c>
      <c r="G13" s="16">
        <v>89.22</v>
      </c>
      <c r="H13" s="16">
        <v>89.76</v>
      </c>
      <c r="I13" s="16">
        <v>98.15</v>
      </c>
      <c r="K13" s="8">
        <f>B10-B13</f>
        <v>0</v>
      </c>
      <c r="L13" s="8">
        <f t="shared" ref="L13:R13" si="10">C10-C13</f>
        <v>1.0300000000000011</v>
      </c>
      <c r="M13" s="8">
        <f t="shared" si="10"/>
        <v>0</v>
      </c>
      <c r="N13" s="8">
        <f t="shared" si="10"/>
        <v>-6.9999999999993179E-2</v>
      </c>
      <c r="O13" s="8">
        <f t="shared" si="10"/>
        <v>0.95000000000000284</v>
      </c>
      <c r="P13" s="8">
        <f t="shared" si="10"/>
        <v>-0.15999999999999659</v>
      </c>
      <c r="Q13" s="8">
        <f t="shared" si="10"/>
        <v>-7.9999999999998295E-2</v>
      </c>
      <c r="R13" s="8">
        <f t="shared" si="10"/>
        <v>1.9999999999996021E-2</v>
      </c>
    </row>
    <row r="16" spans="1:18" x14ac:dyDescent="0.4">
      <c r="K16" s="8">
        <f>B3-B2</f>
        <v>1</v>
      </c>
      <c r="L16" s="8">
        <f t="shared" ref="L16:R26" si="11">C3-C2</f>
        <v>-0.20000000000000284</v>
      </c>
      <c r="M16" s="8">
        <f t="shared" si="11"/>
        <v>1</v>
      </c>
      <c r="N16" s="8">
        <f t="shared" si="11"/>
        <v>1.8700000000000045</v>
      </c>
      <c r="O16" s="8">
        <f t="shared" si="11"/>
        <v>1.5</v>
      </c>
      <c r="P16" s="8">
        <f t="shared" si="11"/>
        <v>0.86999999999999034</v>
      </c>
      <c r="Q16" s="8">
        <f t="shared" si="11"/>
        <v>2.4900000000000091</v>
      </c>
      <c r="R16" s="8">
        <f t="shared" si="11"/>
        <v>1.6599999999999966</v>
      </c>
    </row>
    <row r="17" spans="1:18" x14ac:dyDescent="0.4">
      <c r="K17" s="8">
        <f t="shared" ref="K17:K26" si="12">B4-B3</f>
        <v>3</v>
      </c>
      <c r="L17" s="8">
        <f t="shared" si="11"/>
        <v>4.730000000000004</v>
      </c>
      <c r="M17" s="8">
        <f t="shared" si="11"/>
        <v>3</v>
      </c>
      <c r="N17" s="8">
        <f t="shared" si="11"/>
        <v>3.0600000000000023</v>
      </c>
      <c r="O17" s="8">
        <f t="shared" si="11"/>
        <v>3.9000000000000057</v>
      </c>
      <c r="P17" s="8">
        <f t="shared" si="11"/>
        <v>2.4200000000000017</v>
      </c>
      <c r="Q17" s="8">
        <f t="shared" si="11"/>
        <v>2.5</v>
      </c>
      <c r="R17" s="8">
        <f t="shared" si="11"/>
        <v>2.2800000000000011</v>
      </c>
    </row>
    <row r="18" spans="1:18" x14ac:dyDescent="0.4">
      <c r="K18" s="8">
        <f t="shared" si="12"/>
        <v>2</v>
      </c>
      <c r="L18" s="8">
        <f t="shared" si="11"/>
        <v>0.98000000000000398</v>
      </c>
      <c r="M18" s="8">
        <f t="shared" si="11"/>
        <v>2</v>
      </c>
      <c r="N18" s="8">
        <f t="shared" si="11"/>
        <v>2.3999999999999915</v>
      </c>
      <c r="O18" s="8">
        <f t="shared" si="11"/>
        <v>0.78000000000000114</v>
      </c>
      <c r="P18" s="8">
        <f t="shared" si="11"/>
        <v>1.6700000000000017</v>
      </c>
      <c r="Q18" s="8">
        <f t="shared" si="11"/>
        <v>1.9699999999999989</v>
      </c>
      <c r="R18" s="8">
        <f t="shared" si="11"/>
        <v>1.2199999999999989</v>
      </c>
    </row>
    <row r="19" spans="1:18" x14ac:dyDescent="0.4">
      <c r="K19" s="8">
        <f t="shared" si="12"/>
        <v>2</v>
      </c>
      <c r="L19" s="8">
        <f t="shared" si="11"/>
        <v>-2.1500000000000057</v>
      </c>
      <c r="M19" s="8">
        <f t="shared" si="11"/>
        <v>2</v>
      </c>
      <c r="N19" s="8">
        <f t="shared" si="11"/>
        <v>3.1400000000000006</v>
      </c>
      <c r="O19" s="8">
        <f t="shared" si="11"/>
        <v>-1.0700000000000074</v>
      </c>
      <c r="P19" s="8">
        <f t="shared" si="11"/>
        <v>1.0799999999999983</v>
      </c>
      <c r="Q19" s="8">
        <f t="shared" si="11"/>
        <v>2.6499999999999915</v>
      </c>
      <c r="R19" s="8">
        <f t="shared" si="11"/>
        <v>1.8999999999999915</v>
      </c>
    </row>
    <row r="20" spans="1:18" x14ac:dyDescent="0.4">
      <c r="K20" s="8">
        <f t="shared" si="12"/>
        <v>1</v>
      </c>
      <c r="L20" s="8">
        <f t="shared" si="11"/>
        <v>0.92000000000000171</v>
      </c>
      <c r="M20" s="8">
        <f t="shared" si="11"/>
        <v>1</v>
      </c>
      <c r="N20" s="8">
        <f t="shared" si="11"/>
        <v>0.89000000000000057</v>
      </c>
      <c r="O20" s="8">
        <f t="shared" si="11"/>
        <v>0.9100000000000108</v>
      </c>
      <c r="P20" s="8">
        <f t="shared" si="11"/>
        <v>1.5799999999999983</v>
      </c>
      <c r="Q20" s="8">
        <f t="shared" si="11"/>
        <v>1.2000000000000028</v>
      </c>
      <c r="R20" s="8">
        <f t="shared" si="11"/>
        <v>-1.9599999999999937</v>
      </c>
    </row>
    <row r="21" spans="1:18" x14ac:dyDescent="0.4">
      <c r="K21" s="8">
        <f t="shared" si="12"/>
        <v>1</v>
      </c>
      <c r="L21" s="8">
        <f t="shared" si="11"/>
        <v>1.2900000000000063</v>
      </c>
      <c r="M21" s="8">
        <f t="shared" si="11"/>
        <v>1</v>
      </c>
      <c r="N21" s="8">
        <f t="shared" si="11"/>
        <v>0.96999999999999886</v>
      </c>
      <c r="O21" s="8">
        <f t="shared" si="11"/>
        <v>1.0600000000000023</v>
      </c>
      <c r="P21" s="8">
        <f t="shared" si="11"/>
        <v>0.79000000000000625</v>
      </c>
      <c r="Q21" s="8">
        <f t="shared" si="11"/>
        <v>0.79000000000000625</v>
      </c>
      <c r="R21" s="8">
        <f t="shared" si="11"/>
        <v>1.2399999999999949</v>
      </c>
    </row>
    <row r="22" spans="1:18" x14ac:dyDescent="0.4">
      <c r="K22" s="8">
        <f t="shared" si="12"/>
        <v>1</v>
      </c>
      <c r="L22" s="8">
        <f t="shared" si="11"/>
        <v>0.37999999999999545</v>
      </c>
      <c r="M22" s="8">
        <f t="shared" si="11"/>
        <v>1</v>
      </c>
      <c r="N22" s="8">
        <f t="shared" si="11"/>
        <v>1.1000000000000085</v>
      </c>
      <c r="O22" s="8">
        <f t="shared" si="11"/>
        <v>0.26999999999999602</v>
      </c>
      <c r="P22" s="8">
        <f t="shared" si="11"/>
        <v>0.87999999999999545</v>
      </c>
      <c r="Q22" s="8">
        <f t="shared" si="11"/>
        <v>0.89999999999999147</v>
      </c>
      <c r="R22" s="8">
        <f t="shared" si="11"/>
        <v>1.3299999999999983</v>
      </c>
    </row>
    <row r="23" spans="1:18" x14ac:dyDescent="0.4">
      <c r="K23" s="8">
        <f t="shared" si="12"/>
        <v>1</v>
      </c>
      <c r="L23" s="8">
        <f t="shared" si="11"/>
        <v>1.7900000000000063</v>
      </c>
      <c r="M23" s="8">
        <f t="shared" si="11"/>
        <v>1</v>
      </c>
      <c r="N23" s="8">
        <f t="shared" si="11"/>
        <v>1.0499999999999972</v>
      </c>
      <c r="O23" s="8">
        <f t="shared" si="11"/>
        <v>1.5</v>
      </c>
      <c r="P23" s="8">
        <f t="shared" si="11"/>
        <v>-0.26999999999999602</v>
      </c>
      <c r="Q23" s="8">
        <f t="shared" si="11"/>
        <v>0.33000000000001251</v>
      </c>
      <c r="R23" s="8">
        <f t="shared" si="11"/>
        <v>1.710000000000008</v>
      </c>
    </row>
    <row r="24" spans="1:18" x14ac:dyDescent="0.4">
      <c r="K24" s="8">
        <f t="shared" si="12"/>
        <v>-1</v>
      </c>
      <c r="L24" s="8">
        <f t="shared" si="11"/>
        <v>-2.0100000000000051</v>
      </c>
      <c r="M24" s="8">
        <f t="shared" si="11"/>
        <v>-1</v>
      </c>
      <c r="N24" s="8">
        <f t="shared" si="11"/>
        <v>-0.99000000000000909</v>
      </c>
      <c r="O24" s="8">
        <f t="shared" si="11"/>
        <v>-1.7900000000000063</v>
      </c>
      <c r="P24" s="8">
        <f t="shared" si="11"/>
        <v>0.42000000000000171</v>
      </c>
      <c r="Q24" s="8">
        <f t="shared" si="11"/>
        <v>-0.25</v>
      </c>
      <c r="R24" s="8">
        <f t="shared" si="11"/>
        <v>-2.460000000000008</v>
      </c>
    </row>
    <row r="25" spans="1:18" x14ac:dyDescent="0.4">
      <c r="K25" s="8">
        <f t="shared" si="12"/>
        <v>1</v>
      </c>
      <c r="L25" s="8">
        <f t="shared" si="11"/>
        <v>0.84000000000000341</v>
      </c>
      <c r="M25" s="8">
        <f t="shared" si="11"/>
        <v>1</v>
      </c>
      <c r="N25" s="8">
        <f t="shared" si="11"/>
        <v>1</v>
      </c>
      <c r="O25" s="8">
        <f t="shared" si="11"/>
        <v>-1.2800000000000011</v>
      </c>
      <c r="P25" s="8">
        <f t="shared" si="11"/>
        <v>-0.29999999999999716</v>
      </c>
      <c r="Q25" s="8">
        <f t="shared" si="11"/>
        <v>-0.75</v>
      </c>
      <c r="R25" s="8">
        <f t="shared" si="11"/>
        <v>1.460000000000008</v>
      </c>
    </row>
    <row r="26" spans="1:18" x14ac:dyDescent="0.4">
      <c r="K26" s="8">
        <f t="shared" si="12"/>
        <v>0</v>
      </c>
      <c r="L26" s="8">
        <f t="shared" si="11"/>
        <v>0.14000000000000057</v>
      </c>
      <c r="M26" s="8">
        <f t="shared" si="11"/>
        <v>0</v>
      </c>
      <c r="N26" s="8">
        <f t="shared" si="11"/>
        <v>6.0000000000002274E-2</v>
      </c>
      <c r="O26" s="8">
        <f t="shared" si="11"/>
        <v>2.1200000000000045</v>
      </c>
      <c r="P26" s="8">
        <f t="shared" si="11"/>
        <v>3.9999999999992042E-2</v>
      </c>
      <c r="Q26" s="8">
        <f t="shared" si="11"/>
        <v>1.0799999999999983</v>
      </c>
      <c r="R26" s="8">
        <f t="shared" si="11"/>
        <v>0.98000000000000398</v>
      </c>
    </row>
    <row r="27" spans="1:18" x14ac:dyDescent="0.4">
      <c r="K27" s="8"/>
    </row>
    <row r="28" spans="1:18" x14ac:dyDescent="0.4">
      <c r="K28" s="8"/>
    </row>
    <row r="29" spans="1:18" x14ac:dyDescent="0.4">
      <c r="K29" s="8"/>
    </row>
    <row r="30" spans="1:18" x14ac:dyDescent="0.4">
      <c r="K30" s="8"/>
    </row>
    <row r="31" spans="1:18" x14ac:dyDescent="0.4">
      <c r="A31" s="8">
        <f>B3-B2</f>
        <v>1</v>
      </c>
      <c r="B31" s="8">
        <f t="shared" ref="B31:H31" si="13">C3-C2</f>
        <v>-0.20000000000000284</v>
      </c>
      <c r="C31" s="8">
        <f t="shared" si="13"/>
        <v>1</v>
      </c>
      <c r="D31" s="8">
        <f t="shared" si="13"/>
        <v>1.8700000000000045</v>
      </c>
      <c r="E31" s="8">
        <f t="shared" si="13"/>
        <v>1.5</v>
      </c>
      <c r="F31" s="8">
        <f t="shared" si="13"/>
        <v>0.86999999999999034</v>
      </c>
      <c r="G31" s="8">
        <f t="shared" si="13"/>
        <v>2.4900000000000091</v>
      </c>
      <c r="H31" s="8">
        <f t="shared" si="13"/>
        <v>1.6599999999999966</v>
      </c>
      <c r="J31" s="8">
        <f>A31/B2*100</f>
        <v>1.3157894736842104</v>
      </c>
      <c r="K31" s="8">
        <f t="shared" ref="K31:Q31" si="14">B31/C2*100</f>
        <v>-0.2455795677799642</v>
      </c>
      <c r="L31" s="8">
        <f t="shared" si="14"/>
        <v>1.3157894736842104</v>
      </c>
      <c r="M31" s="8">
        <f t="shared" si="14"/>
        <v>2.5442176870748363</v>
      </c>
      <c r="N31" s="8">
        <f t="shared" si="14"/>
        <v>1.819063788503517</v>
      </c>
      <c r="O31" s="8">
        <f t="shared" si="14"/>
        <v>1.0869565217391182</v>
      </c>
      <c r="P31" s="8">
        <f t="shared" si="14"/>
        <v>3.2400780741704742</v>
      </c>
      <c r="Q31" s="8">
        <f t="shared" si="14"/>
        <v>1.8695799076472537</v>
      </c>
    </row>
    <row r="32" spans="1:18" x14ac:dyDescent="0.4">
      <c r="A32" s="8">
        <f>B4-B2</f>
        <v>4</v>
      </c>
      <c r="B32" s="8">
        <f t="shared" ref="B32:H32" si="15">C4-C2</f>
        <v>4.5300000000000011</v>
      </c>
      <c r="C32" s="8">
        <f t="shared" si="15"/>
        <v>4</v>
      </c>
      <c r="D32" s="8">
        <f t="shared" si="15"/>
        <v>4.9300000000000068</v>
      </c>
      <c r="E32" s="8">
        <f t="shared" si="15"/>
        <v>5.4000000000000057</v>
      </c>
      <c r="F32" s="8">
        <f t="shared" si="15"/>
        <v>3.289999999999992</v>
      </c>
      <c r="G32" s="8">
        <f t="shared" si="15"/>
        <v>4.9900000000000091</v>
      </c>
      <c r="H32" s="8">
        <f t="shared" si="15"/>
        <v>3.9399999999999977</v>
      </c>
      <c r="J32" s="8">
        <f>A32/B2*100</f>
        <v>5.2631578947368416</v>
      </c>
      <c r="K32" s="8">
        <f t="shared" ref="K32:Q32" si="16">B32/C2*100</f>
        <v>5.5623772102161118</v>
      </c>
      <c r="L32" s="8">
        <f t="shared" si="16"/>
        <v>5.2631578947368416</v>
      </c>
      <c r="M32" s="8">
        <f t="shared" si="16"/>
        <v>6.7074829931972877</v>
      </c>
      <c r="N32" s="8">
        <f t="shared" si="16"/>
        <v>6.5486296386126686</v>
      </c>
      <c r="O32" s="8">
        <f t="shared" si="16"/>
        <v>4.1104447776111845</v>
      </c>
      <c r="P32" s="8">
        <f t="shared" si="16"/>
        <v>6.4931685100845931</v>
      </c>
      <c r="Q32" s="8">
        <f t="shared" si="16"/>
        <v>4.4374366482711984</v>
      </c>
    </row>
    <row r="33" spans="1:17" x14ac:dyDescent="0.4">
      <c r="A33" s="8">
        <f>B5-B2</f>
        <v>6</v>
      </c>
      <c r="B33" s="8">
        <f t="shared" ref="B33:H33" si="17">C5-C2</f>
        <v>5.5100000000000051</v>
      </c>
      <c r="C33" s="8">
        <f t="shared" si="17"/>
        <v>6</v>
      </c>
      <c r="D33" s="8">
        <f t="shared" si="17"/>
        <v>7.3299999999999983</v>
      </c>
      <c r="E33" s="8">
        <f t="shared" si="17"/>
        <v>6.1800000000000068</v>
      </c>
      <c r="F33" s="8">
        <f t="shared" si="17"/>
        <v>4.9599999999999937</v>
      </c>
      <c r="G33" s="8">
        <f t="shared" si="17"/>
        <v>6.960000000000008</v>
      </c>
      <c r="H33" s="8">
        <f t="shared" si="17"/>
        <v>5.1599999999999966</v>
      </c>
      <c r="J33" s="8">
        <f>A33/B2*100</f>
        <v>7.8947368421052628</v>
      </c>
      <c r="K33" s="8">
        <f t="shared" ref="K33:Q33" si="18">B33/C2*100</f>
        <v>6.7657170923379235</v>
      </c>
      <c r="L33" s="8">
        <f t="shared" si="18"/>
        <v>7.8947368421052628</v>
      </c>
      <c r="M33" s="8">
        <f t="shared" si="18"/>
        <v>9.9727891156462558</v>
      </c>
      <c r="N33" s="8">
        <f t="shared" si="18"/>
        <v>7.4945428086344981</v>
      </c>
      <c r="O33" s="8">
        <f t="shared" si="18"/>
        <v>6.1969015492253785</v>
      </c>
      <c r="P33" s="8">
        <f t="shared" si="18"/>
        <v>9.0566037735849161</v>
      </c>
      <c r="Q33" s="8">
        <f t="shared" si="18"/>
        <v>5.81146525509629</v>
      </c>
    </row>
    <row r="34" spans="1:17" s="24" customFormat="1" x14ac:dyDescent="0.4">
      <c r="A34" s="23">
        <f>B6-B2</f>
        <v>8</v>
      </c>
      <c r="B34" s="23">
        <f t="shared" ref="B34:H34" si="19">C6-C2</f>
        <v>3.3599999999999994</v>
      </c>
      <c r="C34" s="23">
        <f t="shared" si="19"/>
        <v>8</v>
      </c>
      <c r="D34" s="23">
        <f t="shared" si="19"/>
        <v>10.469999999999999</v>
      </c>
      <c r="E34" s="23">
        <f t="shared" si="19"/>
        <v>5.1099999999999994</v>
      </c>
      <c r="F34" s="23">
        <f t="shared" si="19"/>
        <v>6.039999999999992</v>
      </c>
      <c r="G34" s="23">
        <f t="shared" si="19"/>
        <v>9.61</v>
      </c>
      <c r="H34" s="23">
        <f t="shared" si="19"/>
        <v>7.0599999999999881</v>
      </c>
      <c r="J34" s="23">
        <f>A34/B2*100</f>
        <v>10.526315789473683</v>
      </c>
      <c r="K34" s="23">
        <f t="shared" ref="K34:Q34" si="20">B34/C2*100</f>
        <v>4.1257367387033392</v>
      </c>
      <c r="L34" s="23">
        <f t="shared" si="20"/>
        <v>10.526315789473683</v>
      </c>
      <c r="M34" s="23">
        <f t="shared" si="20"/>
        <v>14.244897959183673</v>
      </c>
      <c r="N34" s="23">
        <f t="shared" si="20"/>
        <v>6.1969439728353137</v>
      </c>
      <c r="O34" s="23">
        <f t="shared" si="20"/>
        <v>7.5462268865567115</v>
      </c>
      <c r="P34" s="23">
        <f t="shared" si="20"/>
        <v>12.50487963565387</v>
      </c>
      <c r="Q34" s="23">
        <f t="shared" si="20"/>
        <v>7.9513458722829018</v>
      </c>
    </row>
    <row r="35" spans="1:17" x14ac:dyDescent="0.4">
      <c r="A35" s="8">
        <f>B7-B2</f>
        <v>9</v>
      </c>
      <c r="B35" s="8">
        <f t="shared" ref="B35:H35" si="21">C7-C2</f>
        <v>4.2800000000000011</v>
      </c>
      <c r="C35" s="8">
        <f t="shared" si="21"/>
        <v>9</v>
      </c>
      <c r="D35" s="8">
        <f t="shared" si="21"/>
        <v>11.36</v>
      </c>
      <c r="E35" s="8">
        <f t="shared" si="21"/>
        <v>6.0200000000000102</v>
      </c>
      <c r="F35" s="8">
        <f t="shared" si="21"/>
        <v>7.6199999999999903</v>
      </c>
      <c r="G35" s="8">
        <f t="shared" si="21"/>
        <v>10.810000000000002</v>
      </c>
      <c r="H35" s="8">
        <f t="shared" si="21"/>
        <v>5.0999999999999943</v>
      </c>
      <c r="J35" s="8">
        <f>A35/B2*100</f>
        <v>11.842105263157894</v>
      </c>
      <c r="K35" s="8">
        <f t="shared" ref="K35:Q35" si="22">B35/C2*100</f>
        <v>5.2554027504911609</v>
      </c>
      <c r="L35" s="8">
        <f t="shared" si="22"/>
        <v>11.842105263157894</v>
      </c>
      <c r="M35" s="8">
        <f t="shared" si="22"/>
        <v>15.455782312925169</v>
      </c>
      <c r="N35" s="8">
        <f t="shared" si="22"/>
        <v>7.3005093378607944</v>
      </c>
      <c r="O35" s="8">
        <f t="shared" si="22"/>
        <v>9.5202398800599575</v>
      </c>
      <c r="P35" s="8">
        <f t="shared" si="22"/>
        <v>14.066363044892652</v>
      </c>
      <c r="Q35" s="8">
        <f t="shared" si="22"/>
        <v>5.7438900777114474</v>
      </c>
    </row>
    <row r="36" spans="1:17" x14ac:dyDescent="0.4">
      <c r="A36" s="8">
        <f>B8-B2</f>
        <v>10</v>
      </c>
      <c r="B36" s="8">
        <f t="shared" ref="B36:H36" si="23">C8-C2</f>
        <v>5.5700000000000074</v>
      </c>
      <c r="C36" s="8">
        <f t="shared" si="23"/>
        <v>10</v>
      </c>
      <c r="D36" s="8">
        <f t="shared" si="23"/>
        <v>12.329999999999998</v>
      </c>
      <c r="E36" s="8">
        <f t="shared" si="23"/>
        <v>7.0800000000000125</v>
      </c>
      <c r="F36" s="8">
        <f t="shared" si="23"/>
        <v>8.4099999999999966</v>
      </c>
      <c r="G36" s="8">
        <f t="shared" si="23"/>
        <v>11.600000000000009</v>
      </c>
      <c r="H36" s="8">
        <f t="shared" si="23"/>
        <v>6.3399999999999892</v>
      </c>
      <c r="J36" s="8">
        <f>A36/B2*100</f>
        <v>13.157894736842104</v>
      </c>
      <c r="K36" s="8">
        <f t="shared" ref="K36:Q36" si="24">B36/C2*100</f>
        <v>6.8393909626719154</v>
      </c>
      <c r="L36" s="8">
        <f t="shared" si="24"/>
        <v>13.157894736842104</v>
      </c>
      <c r="M36" s="8">
        <f t="shared" si="24"/>
        <v>16.77551020408163</v>
      </c>
      <c r="N36" s="8">
        <f t="shared" si="24"/>
        <v>8.585981081736616</v>
      </c>
      <c r="O36" s="8">
        <f t="shared" si="24"/>
        <v>10.50724637681159</v>
      </c>
      <c r="P36" s="8">
        <f t="shared" si="24"/>
        <v>15.094339622641522</v>
      </c>
      <c r="Q36" s="8">
        <f t="shared" si="24"/>
        <v>7.1404437436648145</v>
      </c>
    </row>
    <row r="37" spans="1:17" x14ac:dyDescent="0.4">
      <c r="A37" s="8">
        <f>B9-B2</f>
        <v>11</v>
      </c>
      <c r="B37" s="8">
        <f t="shared" ref="B37:H37" si="25">C9-C2</f>
        <v>5.9500000000000028</v>
      </c>
      <c r="C37" s="8">
        <f t="shared" si="25"/>
        <v>11</v>
      </c>
      <c r="D37" s="8">
        <f t="shared" si="25"/>
        <v>13.430000000000007</v>
      </c>
      <c r="E37" s="8">
        <f t="shared" si="25"/>
        <v>7.3500000000000085</v>
      </c>
      <c r="F37" s="8">
        <f t="shared" si="25"/>
        <v>9.289999999999992</v>
      </c>
      <c r="G37" s="8">
        <f t="shared" si="25"/>
        <v>12.5</v>
      </c>
      <c r="H37" s="8">
        <f t="shared" si="25"/>
        <v>7.6699999999999875</v>
      </c>
      <c r="J37" s="8">
        <f>A37/B2*100</f>
        <v>14.473684210526317</v>
      </c>
      <c r="K37" s="8">
        <f t="shared" ref="K37:Q37" si="26">B37/C2*100</f>
        <v>7.3059921414538351</v>
      </c>
      <c r="L37" s="8">
        <f t="shared" si="26"/>
        <v>14.473684210526317</v>
      </c>
      <c r="M37" s="8">
        <f t="shared" si="26"/>
        <v>18.272108843537424</v>
      </c>
      <c r="N37" s="8">
        <f t="shared" si="26"/>
        <v>8.9134125636672437</v>
      </c>
      <c r="O37" s="8">
        <f t="shared" si="26"/>
        <v>11.606696651674152</v>
      </c>
      <c r="P37" s="8">
        <f t="shared" si="26"/>
        <v>16.265452179570595</v>
      </c>
      <c r="Q37" s="8">
        <f t="shared" si="26"/>
        <v>8.6383601756954462</v>
      </c>
    </row>
    <row r="38" spans="1:17" x14ac:dyDescent="0.4">
      <c r="A38" s="8">
        <f>B10-B2</f>
        <v>12</v>
      </c>
      <c r="B38" s="8">
        <f t="shared" ref="B38:H38" si="27">C10-C2</f>
        <v>7.7400000000000091</v>
      </c>
      <c r="C38" s="8">
        <f t="shared" si="27"/>
        <v>12</v>
      </c>
      <c r="D38" s="8">
        <f t="shared" si="27"/>
        <v>14.480000000000004</v>
      </c>
      <c r="E38" s="8">
        <f t="shared" si="27"/>
        <v>8.8500000000000085</v>
      </c>
      <c r="F38" s="8">
        <f t="shared" si="27"/>
        <v>9.019999999999996</v>
      </c>
      <c r="G38" s="8">
        <f t="shared" si="27"/>
        <v>12.830000000000013</v>
      </c>
      <c r="H38" s="8">
        <f t="shared" si="27"/>
        <v>9.3799999999999955</v>
      </c>
      <c r="J38" s="8">
        <f>A38/B2*100</f>
        <v>15.789473684210526</v>
      </c>
      <c r="K38" s="8">
        <f t="shared" ref="K38:Q38" si="28">B38/C2*100</f>
        <v>9.5039292730844913</v>
      </c>
      <c r="L38" s="8">
        <f t="shared" si="28"/>
        <v>15.789473684210526</v>
      </c>
      <c r="M38" s="8">
        <f t="shared" si="28"/>
        <v>19.700680272108851</v>
      </c>
      <c r="N38" s="8">
        <f t="shared" si="28"/>
        <v>10.73247635217076</v>
      </c>
      <c r="O38" s="8">
        <f t="shared" si="28"/>
        <v>11.269365317341324</v>
      </c>
      <c r="P38" s="8">
        <f t="shared" si="28"/>
        <v>16.694860117111272</v>
      </c>
      <c r="Q38" s="8">
        <f t="shared" si="28"/>
        <v>10.564252731163414</v>
      </c>
    </row>
    <row r="39" spans="1:17" x14ac:dyDescent="0.4">
      <c r="A39" s="8">
        <f>B11-B2</f>
        <v>11</v>
      </c>
      <c r="B39" s="8">
        <f t="shared" ref="B39:H39" si="29">C11-C2</f>
        <v>5.730000000000004</v>
      </c>
      <c r="C39" s="8">
        <f t="shared" si="29"/>
        <v>11</v>
      </c>
      <c r="D39" s="8">
        <f t="shared" si="29"/>
        <v>13.489999999999995</v>
      </c>
      <c r="E39" s="8">
        <f t="shared" si="29"/>
        <v>7.0600000000000023</v>
      </c>
      <c r="F39" s="8">
        <f t="shared" si="29"/>
        <v>9.4399999999999977</v>
      </c>
      <c r="G39" s="8">
        <f t="shared" si="29"/>
        <v>12.580000000000013</v>
      </c>
      <c r="H39" s="8">
        <f t="shared" si="29"/>
        <v>6.9199999999999875</v>
      </c>
      <c r="J39" s="8">
        <f>A39/B2*100</f>
        <v>14.473684210526317</v>
      </c>
      <c r="K39" s="8">
        <f t="shared" ref="K39:Q39" si="30">B39/C2*100</f>
        <v>7.0358546168958798</v>
      </c>
      <c r="L39" s="8">
        <f t="shared" si="30"/>
        <v>14.473684210526317</v>
      </c>
      <c r="M39" s="8">
        <f t="shared" si="30"/>
        <v>18.353741496598634</v>
      </c>
      <c r="N39" s="8">
        <f t="shared" si="30"/>
        <v>8.5617268978898888</v>
      </c>
      <c r="O39" s="8">
        <f t="shared" si="30"/>
        <v>11.794102948525733</v>
      </c>
      <c r="P39" s="8">
        <f t="shared" si="30"/>
        <v>16.369551073519862</v>
      </c>
      <c r="Q39" s="8">
        <f t="shared" si="30"/>
        <v>7.7936704583849377</v>
      </c>
    </row>
    <row r="40" spans="1:17" x14ac:dyDescent="0.4">
      <c r="A40" s="8">
        <f>B12-B2</f>
        <v>12</v>
      </c>
      <c r="B40" s="8">
        <f t="shared" ref="B40:H40" si="31">C12-C2</f>
        <v>6.5700000000000074</v>
      </c>
      <c r="C40" s="8">
        <f t="shared" si="31"/>
        <v>12</v>
      </c>
      <c r="D40" s="8">
        <f t="shared" si="31"/>
        <v>14.489999999999995</v>
      </c>
      <c r="E40" s="8">
        <f t="shared" si="31"/>
        <v>5.7800000000000011</v>
      </c>
      <c r="F40" s="8">
        <f t="shared" si="31"/>
        <v>9.14</v>
      </c>
      <c r="G40" s="8">
        <f t="shared" si="31"/>
        <v>11.830000000000013</v>
      </c>
      <c r="H40" s="8">
        <f t="shared" si="31"/>
        <v>8.3799999999999955</v>
      </c>
      <c r="J40" s="8">
        <f>A40/B2*100</f>
        <v>15.789473684210526</v>
      </c>
      <c r="K40" s="8">
        <f t="shared" ref="K40:Q40" si="32">B40/C2*100</f>
        <v>8.0672888015717188</v>
      </c>
      <c r="L40" s="8">
        <f t="shared" si="32"/>
        <v>15.789473684210526</v>
      </c>
      <c r="M40" s="8">
        <f t="shared" si="32"/>
        <v>19.714285714285708</v>
      </c>
      <c r="N40" s="8">
        <f t="shared" si="32"/>
        <v>7.0094591317002202</v>
      </c>
      <c r="O40" s="8">
        <f t="shared" si="32"/>
        <v>11.419290354822587</v>
      </c>
      <c r="P40" s="8">
        <f t="shared" si="32"/>
        <v>15.393623942745627</v>
      </c>
      <c r="Q40" s="8">
        <f t="shared" si="32"/>
        <v>9.4379997747494038</v>
      </c>
    </row>
    <row r="41" spans="1:17" x14ac:dyDescent="0.4">
      <c r="A41" s="8">
        <f>B13-B2</f>
        <v>12</v>
      </c>
      <c r="B41" s="8">
        <f t="shared" ref="B41:H41" si="33">C13-C2</f>
        <v>6.710000000000008</v>
      </c>
      <c r="C41" s="8">
        <f t="shared" si="33"/>
        <v>12</v>
      </c>
      <c r="D41" s="8">
        <f t="shared" si="33"/>
        <v>14.549999999999997</v>
      </c>
      <c r="E41" s="8">
        <f t="shared" si="33"/>
        <v>7.9000000000000057</v>
      </c>
      <c r="F41" s="8">
        <f t="shared" si="33"/>
        <v>9.1799999999999926</v>
      </c>
      <c r="G41" s="8">
        <f t="shared" si="33"/>
        <v>12.910000000000011</v>
      </c>
      <c r="H41" s="8">
        <f t="shared" si="33"/>
        <v>9.36</v>
      </c>
      <c r="J41" s="8">
        <f>A41/B2*100</f>
        <v>15.789473684210526</v>
      </c>
      <c r="K41" s="8">
        <f t="shared" ref="K41:Q41" si="34">B41/C2*100</f>
        <v>8.2391944990176924</v>
      </c>
      <c r="L41" s="8">
        <f t="shared" si="34"/>
        <v>15.789473684210526</v>
      </c>
      <c r="M41" s="8">
        <f t="shared" si="34"/>
        <v>19.795918367346935</v>
      </c>
      <c r="N41" s="8">
        <f t="shared" si="34"/>
        <v>9.5804026194518617</v>
      </c>
      <c r="O41" s="8">
        <f t="shared" si="34"/>
        <v>11.469265367316332</v>
      </c>
      <c r="P41" s="8">
        <f t="shared" si="34"/>
        <v>16.798959011060525</v>
      </c>
      <c r="Q41" s="8">
        <f t="shared" si="34"/>
        <v>10.541727672035138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ACC-RST</vt:lpstr>
      <vt:lpstr>Data-Aug-Effects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田振洲</dc:creator>
  <cp:lastModifiedBy>001</cp:lastModifiedBy>
  <dcterms:created xsi:type="dcterms:W3CDTF">2024-10-20T03:53:36Z</dcterms:created>
  <dcterms:modified xsi:type="dcterms:W3CDTF">2026-03-14T02:55:48Z</dcterms:modified>
</cp:coreProperties>
</file>